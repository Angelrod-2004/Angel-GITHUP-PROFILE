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Storage/customStorage.xml" ContentType="application/vnd.wps-officedocument.customStorag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8555" activeTab="5"/>
  </bookViews>
  <sheets>
    <sheet name="Dashboard" sheetId="10" r:id="rId1"/>
    <sheet name="TABLE2" sheetId="1" r:id="rId2"/>
    <sheet name="Sheet1" sheetId="2" r:id="rId3"/>
    <sheet name="Data Cleaning" sheetId="17" r:id="rId4"/>
    <sheet name="Sheet2" sheetId="12" r:id="rId5"/>
    <sheet name="Sheet10" sheetId="21" r:id="rId6"/>
  </sheets>
  <definedNames>
    <definedName name="Slicer_Employee_Country">#N/A</definedName>
    <definedName name="Slicer_Employee_Country1">#N/A</definedName>
    <definedName name="Slicer_Customer_Location">#N/A</definedName>
    <definedName name="_xlnm._FilterDatabase" localSheetId="1" hidden="1">TABLE2!$A$1:$Z$117</definedName>
    <definedName name="_xlcn.WorksheetConnection_DIY_SALES_BDCSA2Z1171" hidden="1">TABLE2!$A$2:$Z$117</definedName>
    <definedName name="_xlcn.WorksheetConnection_ExcelOperations.xlsxTable11" hidden="1">Table1[]</definedName>
    <definedName name="AND_condition">TABLE2!$Y$2:$Y$117</definedName>
    <definedName name="Channel_Type">TABLE2!$A$2:$A$117</definedName>
    <definedName name="_xlnm.Criteria" localSheetId="1">TABLE2!$G$121:$G$122</definedName>
    <definedName name="Customer_Country">TABLE2!$V$2:$V$117</definedName>
    <definedName name="Customer_ID">TABLE2!$S$2:$S$117</definedName>
    <definedName name="Customer_Location">TABLE2!$U$2:$U$117</definedName>
    <definedName name="Customer_Name">TABLE2!$T$2:$T$117</definedName>
    <definedName name="Department">TABLE2!$M$2:$M$117</definedName>
    <definedName name="Employee_Code">TABLE2!$H$2:$H$117</definedName>
    <definedName name="Employee_Country">TABLE2!$K$2:$K$117</definedName>
    <definedName name="Employee_ID">TABLE2!$G$2:$G$117</definedName>
    <definedName name="Employee_Locations">TABLE2!$J$2:$J$117</definedName>
    <definedName name="Employee_Name">TABLE2!$I$2:$I$117</definedName>
    <definedName name="ExternalData_1" localSheetId="3" hidden="1">'Data Cleaning'!$A$1:$K$26</definedName>
    <definedName name="_xlnm.Extract" localSheetId="1">TABLE2!$G$125:$AF$125</definedName>
    <definedName name="IF_Condittion">TABLE2!$W$2:$W$117</definedName>
    <definedName name="IFERROR_condition">TABLE2!$AB$2:$AB$117</definedName>
    <definedName name="Item_Category">TABLE2!$C$2:$C$117</definedName>
    <definedName name="Item_code">TABLE2!$E$2:$E$117</definedName>
    <definedName name="Item_ID">TABLE2!$D$2:$D$117</definedName>
    <definedName name="Item_Name">TABLE2!$F$2:$F$117</definedName>
    <definedName name="Item_Sold">Sheet10!$D$2:$D$7</definedName>
    <definedName name="Manager">TABLE2!$L$2:$L$117</definedName>
    <definedName name="Nested_IF">TABLE2!$Z$2:$Z$117</definedName>
    <definedName name="Not_Function">TABLE2!$AA$2:$AA$117</definedName>
    <definedName name="OR_condition">TABLE2!$X$2:$X$117</definedName>
    <definedName name="Pay_Type">TABLE2!$B$2:$B$117</definedName>
    <definedName name="Sales_Amt">TABLE2!$P$2:$P$117</definedName>
    <definedName name="Sales_Cost">TABLE2!$O$2:$O$117</definedName>
    <definedName name="Sales_Date">TABLE2!$N$2:$N$117</definedName>
    <definedName name="Sales_Qty">TABLE2!$Q$2:$Q$117</definedName>
    <definedName name="Sales_Type">TABLE2!$R$2:$R$117</definedName>
  </definedNames>
  <calcPr calcId="191029"/>
  <pivotCaches>
    <pivotCache cacheId="0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Query - Data Cleaning" description="Connection to the 'Data Cleaning' query in the workbook." type="5" background="1" refreshedVersion="2" saveData="1">
    <dbPr connection="Provider=Microsoft.Mashup.OleDb.1;Data Source=$Workbook$;Location=&quot;Data Cleaning&quot;;Extended Properties=&quot;&quot;" command="SELECT * FROM [Data Cleaning]" commandType="2"/>
  </connection>
  <connection id="2" name="Query - Dirty 2" description="Connection to the 'Dirty 2' query in the workbook." type="5" background="1" refreshedVersion="2" saveData="1">
    <dbPr connection="Provider=Microsoft.Mashup.OleDb.1;Data Source=$Workbook$;Location=&quot;Dirty 2&quot;;Extended Properties=&quot;&quot;" command="SELECT * FROM [Dirty 2]" commandType="2"/>
  </connection>
  <connection id="3" name="Query - Dirty 2 (2)" description="Connection to the 'Dirty 2 (2)' query in the workbook." type="5" background="1" refreshedVersion="2" saveData="1">
    <dbPr connection="Provider=Microsoft.Mashup.OleDb.1;Data Source=$Workbook$;Location=&quot;Dirty 2 (2)&quot;;Extended Properties=&quot;&quot;" command="SELECT * FROM [Dirty 2 (2)]" commandType="2"/>
  </connection>
  <connection id="4" name="Query - Sheet1 (2)" description="Connection to the 'Sheet1 (2)' query in the workbook." type="5" background="1" refreshedVersion="2" saveData="1">
    <dbPr connection="Provider=Microsoft.Mashup.OleDb.1;Data Source=$Workbook$;Location=&quot;Sheet1 (2)&quot;;Extended Properties=&quot;&quot;" command="SELECT * FROM [Sheet1 (2)]" commandType="2"/>
  </connection>
  <connection id="5" name="WorksheetConnection_DIY_SALES_BDCS!$A$2:$Z$117" type="5" refreshedVersion="2" saveData="1">
    <dbPr connection="" command="" commandType="2"/>
  </connection>
  <connection id="6" name="WorksheetConnection_Excel Operations.xlsx!Table1" type="5" refreshedVersion="2" saveData="1">
    <dbPr connection="" command="" commandType="2"/>
  </connection>
</connections>
</file>

<file path=xl/sharedStrings.xml><?xml version="1.0" encoding="utf-8"?>
<sst xmlns="http://schemas.openxmlformats.org/spreadsheetml/2006/main" count="3662" uniqueCount="321">
  <si>
    <t>Sales_Cost</t>
  </si>
  <si>
    <t>Dashboard</t>
  </si>
  <si>
    <t>Sales Cost</t>
  </si>
  <si>
    <t>Channel Type</t>
  </si>
  <si>
    <t>Pay Type</t>
  </si>
  <si>
    <t>Item Category</t>
  </si>
  <si>
    <t>Item ID</t>
  </si>
  <si>
    <t>Item code</t>
  </si>
  <si>
    <t>Item Name</t>
  </si>
  <si>
    <t>Employee ID</t>
  </si>
  <si>
    <t>Employee Code</t>
  </si>
  <si>
    <t>Employee Name</t>
  </si>
  <si>
    <t>Employee Locations</t>
  </si>
  <si>
    <t>Employee Country</t>
  </si>
  <si>
    <t>Manager</t>
  </si>
  <si>
    <t>Department</t>
  </si>
  <si>
    <t>Sales Date</t>
  </si>
  <si>
    <t>Sales_Amt</t>
  </si>
  <si>
    <t>Sales_Qty</t>
  </si>
  <si>
    <t>Sales Type</t>
  </si>
  <si>
    <t>Customer ID</t>
  </si>
  <si>
    <t>Customer Name</t>
  </si>
  <si>
    <t>Customer Location</t>
  </si>
  <si>
    <t>Customer Country</t>
  </si>
  <si>
    <t>IF Condittion</t>
  </si>
  <si>
    <t>OR condition</t>
  </si>
  <si>
    <t>AND condition</t>
  </si>
  <si>
    <t>Nested IF</t>
  </si>
  <si>
    <t>Not Function</t>
  </si>
  <si>
    <t>IFERROR condition</t>
  </si>
  <si>
    <t>VLOOKUP FUNCTION</t>
  </si>
  <si>
    <t>Match Function</t>
  </si>
  <si>
    <t>Lookup Function</t>
  </si>
  <si>
    <t>Upper Case</t>
  </si>
  <si>
    <t>Proper</t>
  </si>
  <si>
    <t>Right</t>
  </si>
  <si>
    <t xml:space="preserve">MID </t>
  </si>
  <si>
    <t>Flash fill</t>
  </si>
  <si>
    <t>TTC</t>
  </si>
  <si>
    <t>Text Function</t>
  </si>
  <si>
    <t>EOMONTH</t>
  </si>
  <si>
    <t>DATEDIFF function</t>
  </si>
  <si>
    <t>Number formating</t>
  </si>
  <si>
    <t>DATA BAR</t>
  </si>
  <si>
    <t>Custom Formating</t>
  </si>
  <si>
    <t>Customn Formating -1</t>
  </si>
  <si>
    <t>Pivot Tables</t>
  </si>
  <si>
    <t>Pivort Tables with Filters</t>
  </si>
  <si>
    <t>Pivot Tables with charts</t>
  </si>
  <si>
    <t xml:space="preserve">Dahboard pivort </t>
  </si>
  <si>
    <t>OFFSET FUNCTION</t>
  </si>
  <si>
    <t>Macros</t>
  </si>
  <si>
    <t xml:space="preserve">Do while loop </t>
  </si>
  <si>
    <t>Macro Shapes</t>
  </si>
  <si>
    <t>Post</t>
  </si>
  <si>
    <t>FedeX</t>
  </si>
  <si>
    <t>Cellular</t>
  </si>
  <si>
    <t>P5</t>
  </si>
  <si>
    <t>ATT</t>
  </si>
  <si>
    <t>E20</t>
  </si>
  <si>
    <t>Angela</t>
  </si>
  <si>
    <t>IL</t>
  </si>
  <si>
    <t>USA</t>
  </si>
  <si>
    <t>Manager 3</t>
  </si>
  <si>
    <t>Finance</t>
  </si>
  <si>
    <t>International</t>
  </si>
  <si>
    <t>Arjun</t>
  </si>
  <si>
    <t>Washington</t>
  </si>
  <si>
    <t>US</t>
  </si>
  <si>
    <t>Row Labels</t>
  </si>
  <si>
    <t>Sum of Sales_Cost</t>
  </si>
  <si>
    <t>Sum of Sales_Amt</t>
  </si>
  <si>
    <t>Verizon</t>
  </si>
  <si>
    <t>Direct</t>
  </si>
  <si>
    <t>Cash</t>
  </si>
  <si>
    <t>Cosmetics</t>
  </si>
  <si>
    <t>P3</t>
  </si>
  <si>
    <t>Powder</t>
  </si>
  <si>
    <t>E11</t>
  </si>
  <si>
    <t>George</t>
  </si>
  <si>
    <t>MD</t>
  </si>
  <si>
    <t>Manager 4</t>
  </si>
  <si>
    <t>Accounting</t>
  </si>
  <si>
    <t>DVD</t>
  </si>
  <si>
    <t>Geoff</t>
  </si>
  <si>
    <t>Soap</t>
  </si>
  <si>
    <t>Laptop</t>
  </si>
  <si>
    <t>Hulk Hogan</t>
  </si>
  <si>
    <t>DHL</t>
  </si>
  <si>
    <t>P6</t>
  </si>
  <si>
    <t>E27</t>
  </si>
  <si>
    <t>WA</t>
  </si>
  <si>
    <t>Manager 7</t>
  </si>
  <si>
    <t>Audit</t>
  </si>
  <si>
    <t>Hulk</t>
  </si>
  <si>
    <t>Javed</t>
  </si>
  <si>
    <t>Jeffery</t>
  </si>
  <si>
    <t>E22</t>
  </si>
  <si>
    <t>Mark</t>
  </si>
  <si>
    <t>UK</t>
  </si>
  <si>
    <t>John</t>
  </si>
  <si>
    <t>Grand Total</t>
  </si>
  <si>
    <t>(blank)</t>
  </si>
  <si>
    <t>Kaushik</t>
  </si>
  <si>
    <t>E12</t>
  </si>
  <si>
    <t>Michel</t>
  </si>
  <si>
    <t>NY</t>
  </si>
  <si>
    <t>Manager 5</t>
  </si>
  <si>
    <t>Kenny</t>
  </si>
  <si>
    <t>Online</t>
  </si>
  <si>
    <t>Debit</t>
  </si>
  <si>
    <t>Electronics</t>
  </si>
  <si>
    <t>P1</t>
  </si>
  <si>
    <t>E3</t>
  </si>
  <si>
    <t>Saurav</t>
  </si>
  <si>
    <t>AP</t>
  </si>
  <si>
    <t>India</t>
  </si>
  <si>
    <t>Manager 1</t>
  </si>
  <si>
    <t>Sales</t>
  </si>
  <si>
    <t>Domestic</t>
  </si>
  <si>
    <t>Mustaq Ahmed</t>
  </si>
  <si>
    <t>Simon</t>
  </si>
  <si>
    <t>Arvind</t>
  </si>
  <si>
    <t>IN</t>
  </si>
  <si>
    <t>Cheque</t>
  </si>
  <si>
    <t>Credit</t>
  </si>
  <si>
    <t>E26</t>
  </si>
  <si>
    <t>Manager 6</t>
  </si>
  <si>
    <t>P4</t>
  </si>
  <si>
    <t>E19</t>
  </si>
  <si>
    <t>TX</t>
  </si>
  <si>
    <t>E10</t>
  </si>
  <si>
    <t>Michael</t>
  </si>
  <si>
    <t>VA</t>
  </si>
  <si>
    <t>E2</t>
  </si>
  <si>
    <t>Rahul Dravid</t>
  </si>
  <si>
    <t>Rahul</t>
  </si>
  <si>
    <t>2013</t>
  </si>
  <si>
    <t>E21</t>
  </si>
  <si>
    <t>2015</t>
  </si>
  <si>
    <t>2014</t>
  </si>
  <si>
    <t>E17</t>
  </si>
  <si>
    <t>Andy Marsh</t>
  </si>
  <si>
    <t>Charan</t>
  </si>
  <si>
    <t>Andy</t>
  </si>
  <si>
    <t>2012</t>
  </si>
  <si>
    <t>P2</t>
  </si>
  <si>
    <t>E8</t>
  </si>
  <si>
    <t>Gautam</t>
  </si>
  <si>
    <t>HR</t>
  </si>
  <si>
    <t>Manager 2</t>
  </si>
  <si>
    <t>E24</t>
  </si>
  <si>
    <t>E29</t>
  </si>
  <si>
    <t>Manager 9</t>
  </si>
  <si>
    <t>E9</t>
  </si>
  <si>
    <t>Zaheer Khan</t>
  </si>
  <si>
    <t>Zaheer</t>
  </si>
  <si>
    <t>Mahesh</t>
  </si>
  <si>
    <t>New York</t>
  </si>
  <si>
    <t>E16</t>
  </si>
  <si>
    <t>Mark Waugh</t>
  </si>
  <si>
    <t>E5</t>
  </si>
  <si>
    <t>Rahul Gandhi</t>
  </si>
  <si>
    <t>E15</t>
  </si>
  <si>
    <t>Bret Lee</t>
  </si>
  <si>
    <t>Naresh</t>
  </si>
  <si>
    <t>Mumbai</t>
  </si>
  <si>
    <t>Bret</t>
  </si>
  <si>
    <t>E4</t>
  </si>
  <si>
    <t>Mohsin Khan</t>
  </si>
  <si>
    <t>Mohsin</t>
  </si>
  <si>
    <t>E7</t>
  </si>
  <si>
    <t>Viru Sehwag</t>
  </si>
  <si>
    <t>Viru</t>
  </si>
  <si>
    <t>Pawan</t>
  </si>
  <si>
    <t>E23</t>
  </si>
  <si>
    <t>E28</t>
  </si>
  <si>
    <t>Manager 8</t>
  </si>
  <si>
    <t>Mustaq</t>
  </si>
  <si>
    <t>E18</t>
  </si>
  <si>
    <t>Tim</t>
  </si>
  <si>
    <t>Prasad</t>
  </si>
  <si>
    <t>Bristol</t>
  </si>
  <si>
    <t>E25</t>
  </si>
  <si>
    <t>E1</t>
  </si>
  <si>
    <t>Sachin Tendulkar</t>
  </si>
  <si>
    <t>Sachin</t>
  </si>
  <si>
    <t>Rajesh</t>
  </si>
  <si>
    <t>London</t>
  </si>
  <si>
    <t>E6</t>
  </si>
  <si>
    <t>Yuvraj Singh</t>
  </si>
  <si>
    <t>Yuvraj</t>
  </si>
  <si>
    <t>Ram</t>
  </si>
  <si>
    <t>E13</t>
  </si>
  <si>
    <t>Steve</t>
  </si>
  <si>
    <t>E14</t>
  </si>
  <si>
    <t>Glenn Mcgrath</t>
  </si>
  <si>
    <t>Ramesh</t>
  </si>
  <si>
    <t>Glenn</t>
  </si>
  <si>
    <t>IL+J86:K96</t>
  </si>
  <si>
    <t>Suresh</t>
  </si>
  <si>
    <t>ADVANCED FILTER</t>
  </si>
  <si>
    <t>DEPARTMENT- FINANCE</t>
  </si>
  <si>
    <t>30%</t>
  </si>
  <si>
    <t>20%</t>
  </si>
  <si>
    <t>Great Sales</t>
  </si>
  <si>
    <t>Moderate Sales</t>
  </si>
  <si>
    <t>Poor Sales</t>
  </si>
  <si>
    <t xml:space="preserve">                          Date</t>
  </si>
  <si>
    <t>Client</t>
  </si>
  <si>
    <t>Department.1</t>
  </si>
  <si>
    <t>Location</t>
  </si>
  <si>
    <t>Payment</t>
  </si>
  <si>
    <t>Revenue</t>
  </si>
  <si>
    <t>Profit</t>
  </si>
  <si>
    <t>Profit Margin</t>
  </si>
  <si>
    <t>Column10</t>
  </si>
  <si>
    <t>Gmail address</t>
  </si>
  <si>
    <t>Profit Status</t>
  </si>
  <si>
    <t>AMAZON.COM, INC. (XNAS:AMZN)</t>
  </si>
  <si>
    <t>Cloud Tech</t>
  </si>
  <si>
    <t>Texas</t>
  </si>
  <si>
    <t>Transfer</t>
  </si>
  <si>
    <t>Bill Smith</t>
  </si>
  <si>
    <t>BillSmith@gmail.com</t>
  </si>
  <si>
    <t>Loss</t>
  </si>
  <si>
    <t>TESLA, INC. (XNAS:TSLA)</t>
  </si>
  <si>
    <t>Strategy</t>
  </si>
  <si>
    <t>PayPal</t>
  </si>
  <si>
    <t>Ken Singh</t>
  </si>
  <si>
    <t>KenSingh@gmail.com</t>
  </si>
  <si>
    <t>THE GOLDMAN SACHS GROUP, INC. (XNYS:GS)</t>
  </si>
  <si>
    <t>Operations</t>
  </si>
  <si>
    <t>Florida</t>
  </si>
  <si>
    <t>Check</t>
  </si>
  <si>
    <t>David Rasmussen</t>
  </si>
  <si>
    <t>DavidRasmussen@gmail.com</t>
  </si>
  <si>
    <t>JPMORGAN CHASE &amp; CO. (XNYS:JPM)</t>
  </si>
  <si>
    <t>Ivan Hiney</t>
  </si>
  <si>
    <t>IvanHiney@gmail.com</t>
  </si>
  <si>
    <t>MORGAN STANLEY (XNYS:MS)</t>
  </si>
  <si>
    <t>Jonha Ma</t>
  </si>
  <si>
    <t>JonhaMa@gmail.com</t>
  </si>
  <si>
    <t>CITIGROUP INC. (XNYS:C)</t>
  </si>
  <si>
    <t>Jordan Boone</t>
  </si>
  <si>
    <t>JordanBoone@gmail.com</t>
  </si>
  <si>
    <t>BANK OF AMERICA CORPORATION (XNYS:BAC)</t>
  </si>
  <si>
    <t>Card</t>
  </si>
  <si>
    <t>Kylee Townsend</t>
  </si>
  <si>
    <t>KyleeTownsend@gmail.com</t>
  </si>
  <si>
    <t>WALMART INC. (XNYS:WMT)</t>
  </si>
  <si>
    <t>Nora Rollins</t>
  </si>
  <si>
    <t>NoraRollins@gmail.com</t>
  </si>
  <si>
    <t>TARGET CORPORATION (XNYS:TGT)</t>
  </si>
  <si>
    <t>Brendan Wallace</t>
  </si>
  <si>
    <t>BrendanWallace@gmail.com</t>
  </si>
  <si>
    <t>COSTCO WHOLESALE CORPORATION (XNAS:COST)</t>
  </si>
  <si>
    <t>Conor Wise</t>
  </si>
  <si>
    <t>ConorWise@gmail.com</t>
  </si>
  <si>
    <t>Good</t>
  </si>
  <si>
    <t>MCDONALD'S CORPORATION (XNYS:MCD)</t>
  </si>
  <si>
    <t>Big Data</t>
  </si>
  <si>
    <t>California</t>
  </si>
  <si>
    <t>Steven Michael</t>
  </si>
  <si>
    <t>StevenMichael@gmail.com</t>
  </si>
  <si>
    <t>VERIZON COMMUNICATIONS INC. (XNYS:VZ)</t>
  </si>
  <si>
    <t>Jose Roach</t>
  </si>
  <si>
    <t>JoseRoach@gmail.com</t>
  </si>
  <si>
    <t>THE HOME DEPOT, INC. (XNYS:HD)</t>
  </si>
  <si>
    <t>Franklin Wrigt</t>
  </si>
  <si>
    <t>FranklinWrigt@gmail.com</t>
  </si>
  <si>
    <t>CISCO SYSTEMS, INC. (XNAS:CSCO)</t>
  </si>
  <si>
    <t>Alia Thornton</t>
  </si>
  <si>
    <t>AliaThornton@gmail.com</t>
  </si>
  <si>
    <t>CHEVRON CORPORATION (XNYS:CVX)</t>
  </si>
  <si>
    <t>Denzel Flores</t>
  </si>
  <si>
    <t>DenzelFlores@gmail.com</t>
  </si>
  <si>
    <t>AT&amp;T INC. (XNYS:T)</t>
  </si>
  <si>
    <t>Bruno Cordova</t>
  </si>
  <si>
    <t>BrunoCordova@gmail.com</t>
  </si>
  <si>
    <t>INTEL CORPORATION (XNAS:INTC)</t>
  </si>
  <si>
    <t>Jaylynn Napp</t>
  </si>
  <si>
    <t>JaylynnNapp@gmail.com</t>
  </si>
  <si>
    <t>GENERAL MOTORS COMPANY (XNYS:GM)</t>
  </si>
  <si>
    <t>Bruce Rich</t>
  </si>
  <si>
    <t>BruceRich@gmail.com</t>
  </si>
  <si>
    <t>MICROSOFT CORPORATION (XNAS:MSFT)</t>
  </si>
  <si>
    <t>Arturo Moore</t>
  </si>
  <si>
    <t>ArturoMoore@gmail.com</t>
  </si>
  <si>
    <t>COMCAST CORPORATION (XNAS:CMCSA)</t>
  </si>
  <si>
    <t>Bryce Carpenter</t>
  </si>
  <si>
    <t>BryceCarpenter@gmail.com</t>
  </si>
  <si>
    <t>DELL TECHNOLOGIES INC. (XNYS:DELL)</t>
  </si>
  <si>
    <t>Jaidyn Andersen</t>
  </si>
  <si>
    <t>JaidynAndersen@gmail.com</t>
  </si>
  <si>
    <t>JOHNSON &amp; JOHNSON (XNYS:JNJ)</t>
  </si>
  <si>
    <t>Mark Walm</t>
  </si>
  <si>
    <t>MarkWalm@gmail.com</t>
  </si>
  <si>
    <t>FEDEX CORPORATION (XNYS:FDX)</t>
  </si>
  <si>
    <t>Harry Lee</t>
  </si>
  <si>
    <t>HarryLee@gmail.com</t>
  </si>
  <si>
    <t>GENERAL ELECTRIC COMPANY (XNYS:GE)</t>
  </si>
  <si>
    <t>Josh Johnson</t>
  </si>
  <si>
    <t>JoshJohnson@gmail.com</t>
  </si>
  <si>
    <t>LOCKHEED MARTIN CORPORATION (XNYS:LMT)</t>
  </si>
  <si>
    <t>Mik Naam</t>
  </si>
  <si>
    <t>MikNaam@gmail.com</t>
  </si>
  <si>
    <t>Lookup  Function</t>
  </si>
  <si>
    <t>Item Sold</t>
  </si>
  <si>
    <t>Gender</t>
  </si>
  <si>
    <t>Kanika</t>
  </si>
  <si>
    <t>Angina</t>
  </si>
  <si>
    <t>TV</t>
  </si>
  <si>
    <t>Female</t>
  </si>
  <si>
    <t>Arina</t>
  </si>
  <si>
    <t>Fridge</t>
  </si>
  <si>
    <t>Aryan</t>
  </si>
  <si>
    <t>Refrigerator</t>
  </si>
  <si>
    <t>Male</t>
  </si>
  <si>
    <t>Moblie</t>
  </si>
  <si>
    <t>Tab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</si>
</sst>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&quot;Mr.&quot;@"/>
    <numFmt numFmtId="181" formatCode="dd/mm/yyyy"/>
    <numFmt numFmtId="182" formatCode="&quot;1&quot;#"/>
    <numFmt numFmtId="183" formatCode="&quot;Cellular&quot;;&quot;Cosmetics&quot;;&quot;Electronics&quot;"/>
    <numFmt numFmtId="184" formatCode="@\ &quot;Fernandes&quot;"/>
    <numFmt numFmtId="185" formatCode="[&gt;0]#;&quot;Enter positive value&quot;"/>
    <numFmt numFmtId="186" formatCode="mmm/yy"/>
    <numFmt numFmtId="187" formatCode="[$-F400]h:mm:ss\ AM/PM"/>
    <numFmt numFmtId="188" formatCode="0.00000"/>
    <numFmt numFmtId="189" formatCode="[$$-1009]#,##0"/>
    <numFmt numFmtId="190" formatCode="[$-F800]dddd\,\ mmmm\ dd\,\ yyyy"/>
    <numFmt numFmtId="191" formatCode="0.0000000"/>
  </numFmts>
  <fonts count="32">
    <font>
      <sz val="10"/>
      <color rgb="FF000000"/>
      <name val="Arial"/>
      <charset val="134"/>
    </font>
    <font>
      <sz val="10"/>
      <color rgb="FF000000"/>
      <name val="Arial"/>
      <charset val="134"/>
    </font>
    <font>
      <b/>
      <sz val="10"/>
      <name val="Arial"/>
      <charset val="134"/>
    </font>
    <font>
      <sz val="10"/>
      <name val="Arial"/>
      <charset val="134"/>
    </font>
    <font>
      <b/>
      <sz val="10"/>
      <color theme="1"/>
      <name val="Arial"/>
      <charset val="134"/>
    </font>
    <font>
      <sz val="12"/>
      <color theme="7" tint="-0.249977111117893"/>
      <name val="Playbill"/>
      <charset val="134"/>
    </font>
    <font>
      <b/>
      <sz val="14"/>
      <name val="Arial Black"/>
      <charset val="134"/>
    </font>
    <font>
      <b/>
      <sz val="16"/>
      <name val="Arial"/>
      <charset val="134"/>
    </font>
    <font>
      <sz val="10"/>
      <color rgb="FFFF3399"/>
      <name val="Arial"/>
      <charset val="134"/>
    </font>
    <font>
      <sz val="10"/>
      <color theme="1"/>
      <name val="Playbill"/>
      <charset val="134"/>
    </font>
    <font>
      <b/>
      <sz val="16"/>
      <color rgb="FFFF3399"/>
      <name val="Arial"/>
      <charset val="134"/>
    </font>
    <font>
      <sz val="10"/>
      <color theme="1"/>
      <name val="Arial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178" fontId="12" fillId="0" borderId="0" applyFont="0" applyFill="0" applyBorder="0" applyAlignment="0" applyProtection="0">
      <alignment vertical="center"/>
    </xf>
    <xf numFmtId="179" fontId="1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9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0" borderId="7" applyNumberFormat="0" applyAlignment="0" applyProtection="0">
      <alignment vertical="center"/>
    </xf>
    <xf numFmtId="0" fontId="22" fillId="11" borderId="8" applyNumberFormat="0" applyAlignment="0" applyProtection="0">
      <alignment vertical="center"/>
    </xf>
    <xf numFmtId="0" fontId="23" fillId="11" borderId="7" applyNumberFormat="0" applyAlignment="0" applyProtection="0">
      <alignment vertical="center"/>
    </xf>
    <xf numFmtId="0" fontId="24" fillId="12" borderId="9" applyNumberFormat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</cellStyleXfs>
  <cellXfs count="43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3" borderId="1" xfId="0" applyFont="1" applyFill="1" applyBorder="1"/>
    <xf numFmtId="180" fontId="2" fillId="3" borderId="1" xfId="0" applyNumberFormat="1" applyFont="1" applyFill="1" applyBorder="1"/>
    <xf numFmtId="0" fontId="3" fillId="0" borderId="1" xfId="0" applyFont="1" applyBorder="1"/>
    <xf numFmtId="180" fontId="3" fillId="0" borderId="1" xfId="0" applyNumberFormat="1" applyFont="1" applyBorder="1"/>
    <xf numFmtId="0" fontId="3" fillId="0" borderId="2" xfId="0" applyFont="1" applyBorder="1"/>
    <xf numFmtId="180" fontId="3" fillId="0" borderId="2" xfId="0" applyNumberFormat="1" applyFont="1" applyBorder="1"/>
    <xf numFmtId="181" fontId="0" fillId="0" borderId="0" xfId="0" applyNumberFormat="1"/>
    <xf numFmtId="0" fontId="4" fillId="4" borderId="0" xfId="0" applyFont="1" applyFill="1"/>
    <xf numFmtId="0" fontId="3" fillId="0" borderId="0" xfId="0" applyFont="1"/>
    <xf numFmtId="182" fontId="3" fillId="0" borderId="0" xfId="0" applyNumberFormat="1" applyFont="1"/>
    <xf numFmtId="183" fontId="3" fillId="0" borderId="0" xfId="0" applyNumberFormat="1" applyFont="1"/>
    <xf numFmtId="180" fontId="3" fillId="0" borderId="0" xfId="0" applyNumberFormat="1" applyFont="1"/>
    <xf numFmtId="181" fontId="3" fillId="0" borderId="0" xfId="0" applyNumberFormat="1" applyFont="1"/>
    <xf numFmtId="0" fontId="3" fillId="0" borderId="0" xfId="0" applyFont="1" applyAlignment="1">
      <alignment horizontal="left"/>
    </xf>
    <xf numFmtId="184" fontId="3" fillId="0" borderId="0" xfId="0" applyNumberFormat="1" applyFont="1"/>
    <xf numFmtId="185" fontId="3" fillId="0" borderId="0" xfId="0" applyNumberFormat="1" applyFont="1"/>
    <xf numFmtId="185" fontId="2" fillId="3" borderId="3" xfId="0" applyNumberFormat="1" applyFont="1" applyFill="1" applyBorder="1"/>
    <xf numFmtId="0" fontId="5" fillId="0" borderId="0" xfId="0" applyFont="1" applyAlignment="1">
      <alignment horizontal="left"/>
    </xf>
    <xf numFmtId="185" fontId="1" fillId="0" borderId="0" xfId="0" applyNumberFormat="1" applyFont="1"/>
    <xf numFmtId="185" fontId="0" fillId="0" borderId="0" xfId="0" applyNumberFormat="1"/>
    <xf numFmtId="0" fontId="0" fillId="0" borderId="0" xfId="0" applyAlignment="1">
      <alignment horizontal="left"/>
    </xf>
    <xf numFmtId="186" fontId="0" fillId="0" borderId="0" xfId="0" applyNumberFormat="1"/>
    <xf numFmtId="1" fontId="1" fillId="0" borderId="0" xfId="0" applyNumberFormat="1" applyFont="1"/>
    <xf numFmtId="187" fontId="1" fillId="0" borderId="0" xfId="0" applyNumberFormat="1" applyFont="1"/>
    <xf numFmtId="187" fontId="0" fillId="0" borderId="0" xfId="0" applyNumberFormat="1"/>
    <xf numFmtId="188" fontId="1" fillId="0" borderId="0" xfId="0" applyNumberFormat="1" applyFont="1"/>
    <xf numFmtId="189" fontId="0" fillId="0" borderId="0" xfId="0" applyNumberFormat="1"/>
    <xf numFmtId="0" fontId="2" fillId="5" borderId="1" xfId="0" applyFont="1" applyFill="1" applyBorder="1"/>
    <xf numFmtId="0" fontId="0" fillId="6" borderId="0" xfId="0" applyFill="1"/>
    <xf numFmtId="0" fontId="3" fillId="6" borderId="1" xfId="0" applyFont="1" applyFill="1" applyBorder="1"/>
    <xf numFmtId="0" fontId="6" fillId="3" borderId="1" xfId="0" applyFont="1" applyFill="1" applyBorder="1"/>
    <xf numFmtId="0" fontId="7" fillId="7" borderId="0" xfId="0" applyFont="1" applyFill="1"/>
    <xf numFmtId="0" fontId="3" fillId="7" borderId="0" xfId="0" applyFont="1" applyFill="1"/>
    <xf numFmtId="190" fontId="1" fillId="0" borderId="0" xfId="0" applyNumberFormat="1" applyFont="1"/>
    <xf numFmtId="191" fontId="1" fillId="0" borderId="0" xfId="0" applyNumberFormat="1" applyFont="1"/>
    <xf numFmtId="190" fontId="0" fillId="0" borderId="0" xfId="0" applyNumberFormat="1"/>
    <xf numFmtId="0" fontId="8" fillId="0" borderId="0" xfId="0" applyFont="1"/>
    <xf numFmtId="0" fontId="9" fillId="0" borderId="0" xfId="0" applyFont="1"/>
    <xf numFmtId="0" fontId="10" fillId="8" borderId="0" xfId="0" applyFont="1" applyFill="1"/>
    <xf numFmtId="0" fontId="11" fillId="0" borderId="0" xfId="0" applyFo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7">
    <dxf>
      <font>
        <color rgb="FFFF0000"/>
      </font>
    </dxf>
    <dxf>
      <font>
        <color rgb="FF92D050"/>
      </font>
    </dxf>
    <dxf>
      <font>
        <color theme="7" tint="0.399945066682943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  <numFmt numFmtId="183" formatCode="&quot;Cellular&quot;;&quot;Cosmetics&quot;;&quot;Electronics&quot;"/>
    </dxf>
    <dxf>
      <font>
        <name val="Arial"/>
        <scheme val="none"/>
        <b val="0"/>
        <i val="0"/>
        <strike val="0"/>
        <u val="none"/>
        <sz val="10"/>
        <color auto="1"/>
      </font>
      <numFmt numFmtId="182" formatCode="&quot;1&quot;#"/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  <numFmt numFmtId="180" formatCode="&quot;Mr.&quot;@"/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  <numFmt numFmtId="181" formatCode="dd/mm/yyyy"/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font>
        <name val="Arial"/>
        <scheme val="none"/>
        <b val="0"/>
        <i val="0"/>
        <strike val="0"/>
        <u val="none"/>
        <sz val="10"/>
        <color auto="1"/>
      </font>
    </dxf>
    <dxf>
      <numFmt numFmtId="0" formatCode="General"/>
    </dxf>
    <dxf>
      <numFmt numFmtId="181" formatCode="dd/mm/yyyy"/>
    </dxf>
    <dxf>
      <font>
        <name val="Playbill"/>
        <scheme val="none"/>
        <family val="5"/>
        <b val="0"/>
        <strike val="0"/>
        <u val="none"/>
        <sz val="12"/>
        <color theme="7" tint="-0.249977111117893"/>
      </font>
      <numFmt numFmtId="0" formatCode="General"/>
      <alignment horizontal="left"/>
    </dxf>
    <dxf>
      <font>
        <name val="Arial"/>
        <scheme val="none"/>
        <b val="0"/>
        <i val="0"/>
        <strike val="0"/>
        <u val="none"/>
        <sz val="10"/>
        <color auto="1"/>
      </font>
      <numFmt numFmtId="184" formatCode="@\ &quot;Fernandes&quot;"/>
    </dxf>
    <dxf>
      <numFmt numFmtId="185" formatCode="[&gt;0]#;&quot;Enter positive value&quot;"/>
    </dxf>
    <dxf>
      <fill>
        <patternFill patternType="solid">
          <bgColor rgb="FF92D050"/>
        </patternFill>
      </fill>
    </dxf>
    <dxf>
      <fill>
        <patternFill patternType="solid">
          <bgColor theme="5" tint="0.399945066682943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92D050"/>
        </patternFill>
      </fill>
    </dxf>
    <dxf>
      <font>
        <color rgb="FFFFFF00"/>
      </font>
    </dxf>
    <dxf>
      <font>
        <color rgb="FFFF0000"/>
      </font>
      <fill>
        <patternFill patternType="none"/>
      </fill>
    </dxf>
    <dxf>
      <fill>
        <patternFill patternType="solid">
          <bgColor rgb="FFFF0000"/>
        </patternFill>
      </fill>
    </dxf>
    <dxf>
      <numFmt numFmtId="181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4" tint="0.599963377788629"/>
        </patternFill>
      </fill>
    </dxf>
  </dxfs>
  <tableStyles count="0" defaultTableStyle="TableStyleMedium2" defaultPivotStyle="PivotStyleLight16"/>
  <colors>
    <mruColors>
      <color rgb="00FF3399"/>
      <color rgb="00FF5050"/>
      <color rgb="00FF6699"/>
      <color rgb="00FF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2.xml"/><Relationship Id="rId8" Type="http://schemas.openxmlformats.org/officeDocument/2006/relationships/customXml" Target="../customXml/item1.xml"/><Relationship Id="rId7" Type="http://schemas.openxmlformats.org/officeDocument/2006/relationships/connections" Target="connections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1" Type="http://www.wps.cn/officeDocument/2023/relationships/customStorage" Target="customStorage/customStorage.xml"/><Relationship Id="rId30" Type="http://schemas.openxmlformats.org/officeDocument/2006/relationships/styles" Target="styles.xml"/><Relationship Id="rId3" Type="http://schemas.openxmlformats.org/officeDocument/2006/relationships/worksheet" Target="worksheets/sheet3.xml"/><Relationship Id="rId29" Type="http://schemas.openxmlformats.org/officeDocument/2006/relationships/sharedStrings" Target="sharedStrings.xml"/><Relationship Id="rId28" Type="http://schemas.openxmlformats.org/officeDocument/2006/relationships/theme" Target="theme/theme1.xml"/><Relationship Id="rId27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9.xml"/><Relationship Id="rId25" Type="http://schemas.openxmlformats.org/officeDocument/2006/relationships/customXml" Target="../customXml/item18.xml"/><Relationship Id="rId24" Type="http://schemas.openxmlformats.org/officeDocument/2006/relationships/customXml" Target="../customXml/item17.xml"/><Relationship Id="rId23" Type="http://schemas.openxmlformats.org/officeDocument/2006/relationships/customXml" Target="../customXml/item16.xml"/><Relationship Id="rId22" Type="http://schemas.openxmlformats.org/officeDocument/2006/relationships/customXml" Target="../customXml/item15.xml"/><Relationship Id="rId21" Type="http://schemas.openxmlformats.org/officeDocument/2006/relationships/customXml" Target="../customXml/item14.xml"/><Relationship Id="rId20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9" Type="http://schemas.openxmlformats.org/officeDocument/2006/relationships/customXml" Target="../customXml/item12.xml"/><Relationship Id="rId18" Type="http://schemas.openxmlformats.org/officeDocument/2006/relationships/customXml" Target="../customXml/item11.xml"/><Relationship Id="rId17" Type="http://schemas.openxmlformats.org/officeDocument/2006/relationships/customXml" Target="../customXml/item10.xml"/><Relationship Id="rId16" Type="http://schemas.openxmlformats.org/officeDocument/2006/relationships/customXml" Target="../customXml/item9.xml"/><Relationship Id="rId15" Type="http://schemas.openxmlformats.org/officeDocument/2006/relationships/customXml" Target="../customXml/item8.xml"/><Relationship Id="rId14" Type="http://schemas.openxmlformats.org/officeDocument/2006/relationships/customXml" Target="../customXml/item7.xml"/><Relationship Id="rId13" Type="http://schemas.openxmlformats.org/officeDocument/2006/relationships/customXml" Target="../customXml/item6.xml"/><Relationship Id="rId12" Type="http://schemas.openxmlformats.org/officeDocument/2006/relationships/customXml" Target="../customXml/item5.xml"/><Relationship Id="rId11" Type="http://schemas.openxmlformats.org/officeDocument/2006/relationships/customXml" Target="../customXml/item4.xml"/><Relationship Id="rId10" Type="http://schemas.openxmlformats.org/officeDocument/2006/relationships/customXml" Target="../customXml/item3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TABLE2!$BD$2</c:f>
              <c:strCache>
                <c:ptCount val="1"/>
                <c:pt idx="0">
                  <c:v>Sum of Sales_Cost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4000"/>
                  </a:schemeClr>
                </a:gs>
                <a:gs pos="49000">
                  <a:schemeClr val="accent1">
                    <a:tint val="96000"/>
                    <a:shade val="84000"/>
                    <a:satMod val="110000"/>
                  </a:schemeClr>
                </a:gs>
                <a:gs pos="49100">
                  <a:schemeClr val="accent1">
                    <a:shade val="55000"/>
                    <a:satMod val="150000"/>
                  </a:schemeClr>
                </a:gs>
                <a:gs pos="92000">
                  <a:schemeClr val="accent1">
                    <a:tint val="98000"/>
                    <a:shade val="90000"/>
                    <a:satMod val="128000"/>
                  </a:schemeClr>
                </a:gs>
                <a:gs pos="100000">
                  <a:schemeClr val="accent1">
                    <a:tint val="90000"/>
                    <a:shade val="97000"/>
                    <a:satMod val="128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39000" dist="25400" dir="5400000" rotWithShape="0">
                <a:scrgbClr r="0" g="0" b="0">
                  <a:shade val="33000"/>
                  <a:alpha val="83000"/>
                </a:scrgbClr>
              </a:outerShdw>
            </a:effectLst>
            <a:scene3d>
              <a:camera prst="orthographicFront" fov="0">
                <a:rot lat="0" lon="0" rev="0"/>
              </a:camera>
              <a:lightRig rig="contrasting" dir="t">
                <a:rot lat="0" lon="0" rev="1500000"/>
              </a:lightRig>
            </a:scene3d>
            <a:sp3d extrusionH="127000" prstMaterial="powder">
              <a:bevelT w="50800" h="635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TABLE2!$BC$3:$BC$8</c:f>
              <c:strCache>
                <c:ptCount val="6"/>
                <c:pt idx="0">
                  <c:v>Verizon</c:v>
                </c:pt>
                <c:pt idx="1">
                  <c:v>Powder</c:v>
                </c:pt>
                <c:pt idx="2">
                  <c:v>Laptop</c:v>
                </c:pt>
                <c:pt idx="3">
                  <c:v>DVD</c:v>
                </c:pt>
                <c:pt idx="4">
                  <c:v>Soap</c:v>
                </c:pt>
                <c:pt idx="5">
                  <c:v>Grand Total</c:v>
                </c:pt>
              </c:strCache>
            </c:strRef>
          </c:cat>
          <c:val>
            <c:numRef>
              <c:f>TABLE2!$BD$3:$BD$8</c:f>
              <c:numCache>
                <c:formatCode>[$$-1009]#,##0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610</c:v>
                </c:pt>
                <c:pt idx="3">
                  <c:v>1300</c:v>
                </c:pt>
                <c:pt idx="4">
                  <c:v>2360</c:v>
                </c:pt>
                <c:pt idx="5">
                  <c:v>4870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7927424"/>
        <c:axId val="1175344944"/>
      </c:barChart>
      <c:catAx>
        <c:axId val="9792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75344944"/>
        <c:crosses val="autoZero"/>
        <c:auto val="1"/>
        <c:lblAlgn val="ctr"/>
        <c:lblOffset val="100"/>
        <c:noMultiLvlLbl val="0"/>
      </c:catAx>
      <c:valAx>
        <c:axId val="117534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92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690285a-7549-4198-9276-8788e5bf18f1}"/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TABLE2!$BD$22</c:f>
              <c:strCache>
                <c:ptCount val="1"/>
                <c:pt idx="0">
                  <c:v>Sum of Sales_Cost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39000" dist="25400" dir="5400000" rotWithShape="0">
                <a:scrgbClr r="0" g="0" b="0">
                  <a:shade val="33000"/>
                  <a:alpha val="83000"/>
                </a:sc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</a:schemeClr>
                  </a:gs>
                  <a:gs pos="49000">
                    <a:schemeClr val="accent1">
                      <a:tint val="96000"/>
                      <a:shade val="84000"/>
                      <a:satMod val="110000"/>
                    </a:schemeClr>
                  </a:gs>
                  <a:gs pos="49100">
                    <a:schemeClr val="accent1">
                      <a:shade val="55000"/>
                      <a:satMod val="150000"/>
                    </a:schemeClr>
                  </a:gs>
                  <a:gs pos="92000">
                    <a:schemeClr val="accent1">
                      <a:tint val="98000"/>
                      <a:shade val="90000"/>
                      <a:satMod val="128000"/>
                    </a:schemeClr>
                  </a:gs>
                  <a:gs pos="100000">
                    <a:schemeClr val="accent1">
                      <a:tint val="90000"/>
                      <a:shade val="97000"/>
                      <a:satMod val="128000"/>
                    </a:schemeClr>
                  </a:gs>
                </a:gsLst>
                <a:lin ang="5400000" scaled="1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39000" dist="25400" dir="5400000" rotWithShape="0">
                  <a:scrgbClr r="0" g="0" b="0">
                    <a:shade val="33000"/>
                    <a:alpha val="83000"/>
                  </a:scrgbClr>
                </a:outerShdw>
              </a:effectLst>
              <a:scene3d>
                <a:camera prst="orthographicFront" fov="0">
                  <a:rot lat="0" lon="0" rev="0"/>
                </a:camera>
                <a:lightRig rig="contrasting" dir="t">
                  <a:rot lat="0" lon="0" rev="1500000"/>
                </a:lightRig>
              </a:scene3d>
              <a:sp3d extrusionH="127000" prstMaterial="powder">
                <a:bevelT w="50800" h="63500"/>
              </a:sp3d>
            </c:spPr>
          </c:marker>
          <c:dLbls>
            <c:delete val="1"/>
          </c:dLbls>
          <c:cat>
            <c:strRef>
              <c:f>TABLE2!$BC$23:$BC$27</c:f>
              <c:strCache>
                <c:ptCount val="5"/>
                <c:pt idx="0">
                  <c:v>2013</c:v>
                </c:pt>
                <c:pt idx="1">
                  <c:v>2015</c:v>
                </c:pt>
                <c:pt idx="2">
                  <c:v>2014</c:v>
                </c:pt>
                <c:pt idx="3">
                  <c:v>2012</c:v>
                </c:pt>
                <c:pt idx="4">
                  <c:v>Grand Total</c:v>
                </c:pt>
              </c:strCache>
            </c:strRef>
          </c:cat>
          <c:val>
            <c:numRef>
              <c:f>TABLE2!$BD$23:$BD$27</c:f>
              <c:numCache>
                <c:formatCode>[$$-1009]#,##0</c:formatCode>
                <c:ptCount val="5"/>
                <c:pt idx="0">
                  <c:v>780</c:v>
                </c:pt>
                <c:pt idx="1">
                  <c:v>780</c:v>
                </c:pt>
                <c:pt idx="2">
                  <c:v>1655</c:v>
                </c:pt>
                <c:pt idx="3">
                  <c:v>1655</c:v>
                </c:pt>
                <c:pt idx="4">
                  <c:v>4870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5708512"/>
        <c:axId val="1471309168"/>
      </c:lineChart>
      <c:catAx>
        <c:axId val="10757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71309168"/>
        <c:crosses val="autoZero"/>
        <c:auto val="1"/>
        <c:lblAlgn val="ctr"/>
        <c:lblOffset val="100"/>
        <c:noMultiLvlLbl val="0"/>
      </c:catAx>
      <c:valAx>
        <c:axId val="14713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7570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fd9dbf3-97d7-4712-810f-a914171436e1}"/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0.0370919881305638"/>
          <c:y val="0.33682669874599"/>
          <c:w val="0.804648862512364"/>
          <c:h val="0.66317330125401"/>
        </c:manualLayout>
      </c:layout>
      <c:pie3DChart>
        <c:varyColors val="1"/>
        <c:ser>
          <c:idx val="0"/>
          <c:order val="0"/>
          <c:tx>
            <c:strRef>
              <c:f>TABLE2!$BD$12</c:f>
              <c:strCache>
                <c:ptCount val="1"/>
                <c:pt idx="0">
                  <c:v>Sum of Sales_Cost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TABLE2!$BC$13:$BC$18</c:f>
              <c:strCache>
                <c:ptCount val="6"/>
                <c:pt idx="0">
                  <c:v>Cash</c:v>
                </c:pt>
                <c:pt idx="1">
                  <c:v>Cheque</c:v>
                </c:pt>
                <c:pt idx="2">
                  <c:v>Credit</c:v>
                </c:pt>
                <c:pt idx="3">
                  <c:v>Debit</c:v>
                </c:pt>
                <c:pt idx="4">
                  <c:v>DHL</c:v>
                </c:pt>
                <c:pt idx="5">
                  <c:v>Grand Total</c:v>
                </c:pt>
              </c:strCache>
            </c:strRef>
          </c:cat>
          <c:val>
            <c:numRef>
              <c:f>TABLE2!$BD$13:$BD$18</c:f>
              <c:numCache>
                <c:formatCode>General</c:formatCode>
                <c:ptCount val="6"/>
                <c:pt idx="0">
                  <c:v>400</c:v>
                </c:pt>
                <c:pt idx="1">
                  <c:v>2360</c:v>
                </c:pt>
                <c:pt idx="2">
                  <c:v>1300</c:v>
                </c:pt>
                <c:pt idx="3">
                  <c:v>610</c:v>
                </c:pt>
                <c:pt idx="4">
                  <c:v>200</c:v>
                </c:pt>
                <c:pt idx="5">
                  <c:v>4870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85388f9-cb09-42cf-b212-fb65385d6117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TABLE2!$AZ$3</c:f>
              <c:strCache>
                <c:ptCount val="1"/>
                <c:pt idx="0">
                  <c:v>Sum of Sales_Amt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TABLE2!$AY$4:$AY$8</c:f>
              <c:strCache>
                <c:ptCount val="5"/>
                <c:pt idx="0">
                  <c:v>Soap</c:v>
                </c:pt>
                <c:pt idx="1">
                  <c:v>Powder</c:v>
                </c:pt>
                <c:pt idx="2">
                  <c:v>ATT</c:v>
                </c:pt>
                <c:pt idx="3">
                  <c:v>Verizon</c:v>
                </c:pt>
                <c:pt idx="4">
                  <c:v>Grand Total</c:v>
                </c:pt>
              </c:strCache>
            </c:strRef>
          </c:cat>
          <c:val>
            <c:numRef>
              <c:f>TABLE2!$AZ$4:$AZ$8</c:f>
              <c:numCache>
                <c:formatCode>General</c:formatCode>
                <c:ptCount val="5"/>
                <c:pt idx="0">
                  <c:v>9300</c:v>
                </c:pt>
                <c:pt idx="1">
                  <c:v>14400</c:v>
                </c:pt>
                <c:pt idx="2">
                  <c:v>15000</c:v>
                </c:pt>
                <c:pt idx="3">
                  <c:v>21900</c:v>
                </c:pt>
                <c:pt idx="4">
                  <c:v>60600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5362400"/>
        <c:axId val="1082837056"/>
      </c:barChart>
      <c:catAx>
        <c:axId val="135536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82837056"/>
        <c:crosses val="autoZero"/>
        <c:auto val="1"/>
        <c:lblAlgn val="ctr"/>
        <c:lblOffset val="100"/>
        <c:noMultiLvlLbl val="0"/>
      </c:catAx>
      <c:valAx>
        <c:axId val="108283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553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92adb00-9d77-46e2-9456-79b981ffdb5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U$1" max="100" min="1" page="10" val="4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373380</xdr:colOff>
      <xdr:row>3</xdr:row>
      <xdr:rowOff>144780</xdr:rowOff>
    </xdr:from>
    <xdr:to>
      <xdr:col>12</xdr:col>
      <xdr:colOff>364144</xdr:colOff>
      <xdr:row>15</xdr:row>
      <xdr:rowOff>114454</xdr:rowOff>
    </xdr:to>
    <xdr:graphicFrame>
      <xdr:nvGraphicFramePr>
        <xdr:cNvPr id="4" name="Chart 3"/>
        <xdr:cNvGraphicFramePr/>
      </xdr:nvGraphicFramePr>
      <xdr:xfrm>
        <a:off x="4030980" y="746760"/>
        <a:ext cx="3648075" cy="198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586740</xdr:colOff>
      <xdr:row>18</xdr:row>
      <xdr:rowOff>144780</xdr:rowOff>
    </xdr:from>
    <xdr:to>
      <xdr:col>8</xdr:col>
      <xdr:colOff>281940</xdr:colOff>
      <xdr:row>35</xdr:row>
      <xdr:rowOff>38100</xdr:rowOff>
    </xdr:to>
    <xdr:graphicFrame>
      <xdr:nvGraphicFramePr>
        <xdr:cNvPr id="5" name="Chart 4"/>
        <xdr:cNvGraphicFramePr/>
      </xdr:nvGraphicFramePr>
      <xdr:xfrm>
        <a:off x="586740" y="326136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121920</xdr:colOff>
      <xdr:row>0</xdr:row>
      <xdr:rowOff>137160</xdr:rowOff>
    </xdr:from>
    <xdr:to>
      <xdr:col>17</xdr:col>
      <xdr:colOff>236220</xdr:colOff>
      <xdr:row>13</xdr:row>
      <xdr:rowOff>30480</xdr:rowOff>
    </xdr:to>
    <xdr:sp>
      <xdr:nvSpPr>
        <xdr:cNvPr id="6" name="Customer Location 1"/>
        <xdr:cNvSpPr/>
      </xdr:nvSpPr>
      <xdr:spPr>
        <a:xfrm>
          <a:off x="8046720" y="137160"/>
          <a:ext cx="2552700" cy="2171700"/>
        </a:xfrm>
      </xdr:spPr>
    </xdr:sp>
    <xdr:clientData/>
  </xdr:twoCellAnchor>
  <xdr:twoCellAnchor>
    <xdr:from>
      <xdr:col>10</xdr:col>
      <xdr:colOff>259080</xdr:colOff>
      <xdr:row>18</xdr:row>
      <xdr:rowOff>30480</xdr:rowOff>
    </xdr:from>
    <xdr:to>
      <xdr:col>18</xdr:col>
      <xdr:colOff>518160</xdr:colOff>
      <xdr:row>31</xdr:row>
      <xdr:rowOff>76200</xdr:rowOff>
    </xdr:to>
    <xdr:graphicFrame>
      <xdr:nvGraphicFramePr>
        <xdr:cNvPr id="2" name="Chart 1"/>
        <xdr:cNvGraphicFramePr/>
      </xdr:nvGraphicFramePr>
      <xdr:xfrm>
        <a:off x="6355080" y="3147060"/>
        <a:ext cx="5135880" cy="2225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7</xdr:row>
          <xdr:rowOff>121920</xdr:rowOff>
        </xdr:from>
        <xdr:to>
          <xdr:col>24</xdr:col>
          <xdr:colOff>533400</xdr:colOff>
          <xdr:row>17</xdr:row>
          <xdr:rowOff>121920</xdr:rowOff>
        </xdr:to>
        <xdr:sp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651480" y="1394460"/>
              <a:ext cx="464820" cy="1676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48</xdr:col>
      <xdr:colOff>146396</xdr:colOff>
      <xdr:row>1</xdr:row>
      <xdr:rowOff>110760</xdr:rowOff>
    </xdr:from>
    <xdr:to>
      <xdr:col>49</xdr:col>
      <xdr:colOff>738908</xdr:colOff>
      <xdr:row>14</xdr:row>
      <xdr:rowOff>100061</xdr:rowOff>
    </xdr:to>
    <xdr:sp>
      <xdr:nvSpPr>
        <xdr:cNvPr id="10" name="Employee Country"/>
        <xdr:cNvSpPr/>
      </xdr:nvSpPr>
      <xdr:spPr>
        <a:xfrm>
          <a:off x="55147210" y="293370"/>
          <a:ext cx="1583055" cy="2515235"/>
        </a:xfrm>
      </xdr:spPr>
    </xdr:sp>
    <xdr:clientData/>
  </xdr:twoCellAnchor>
  <xdr:twoCellAnchor>
    <xdr:from>
      <xdr:col>49</xdr:col>
      <xdr:colOff>985212</xdr:colOff>
      <xdr:row>10</xdr:row>
      <xdr:rowOff>123152</xdr:rowOff>
    </xdr:from>
    <xdr:to>
      <xdr:col>53</xdr:col>
      <xdr:colOff>838970</xdr:colOff>
      <xdr:row>24</xdr:row>
      <xdr:rowOff>182418</xdr:rowOff>
    </xdr:to>
    <xdr:graphicFrame>
      <xdr:nvGraphicFramePr>
        <xdr:cNvPr id="11" name="Chart 10"/>
        <xdr:cNvGraphicFramePr/>
      </xdr:nvGraphicFramePr>
      <xdr:xfrm>
        <a:off x="56976645" y="2031365"/>
        <a:ext cx="3961130" cy="2860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52</xdr:col>
      <xdr:colOff>115455</xdr:colOff>
      <xdr:row>2</xdr:row>
      <xdr:rowOff>138545</xdr:rowOff>
    </xdr:from>
    <xdr:to>
      <xdr:col>53</xdr:col>
      <xdr:colOff>723516</xdr:colOff>
      <xdr:row>9</xdr:row>
      <xdr:rowOff>184728</xdr:rowOff>
    </xdr:to>
    <xdr:sp>
      <xdr:nvSpPr>
        <xdr:cNvPr id="12" name="Employee Country 1"/>
        <xdr:cNvSpPr/>
      </xdr:nvSpPr>
      <xdr:spPr>
        <a:xfrm>
          <a:off x="59223275" y="496570"/>
          <a:ext cx="1598930" cy="1396365"/>
        </a:xfr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182880</xdr:colOff>
          <xdr:row>8</xdr:row>
          <xdr:rowOff>30480</xdr:rowOff>
        </xdr:from>
        <xdr:to>
          <xdr:col>57</xdr:col>
          <xdr:colOff>1470660</xdr:colOff>
          <xdr:row>9</xdr:row>
          <xdr:rowOff>198120</xdr:rowOff>
        </xdr:to>
        <xdr:sp macro="[0]!Colour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792860" y="1539240"/>
              <a:ext cx="1287780" cy="36766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Button 2</a:t>
              </a:r>
              <a:endParaRPr lang="en-IN" sz="1000" b="0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60</xdr:col>
      <xdr:colOff>87312</xdr:colOff>
      <xdr:row>7</xdr:row>
      <xdr:rowOff>31750</xdr:rowOff>
    </xdr:from>
    <xdr:to>
      <xdr:col>61</xdr:col>
      <xdr:colOff>9525</xdr:colOff>
      <xdr:row>10</xdr:row>
      <xdr:rowOff>49085</xdr:rowOff>
    </xdr:to>
    <xdr:sp macro="[0]!Test">
      <xdr:nvSpPr>
        <xdr:cNvPr id="6" name="Flowchart: Data 5"/>
        <xdr:cNvSpPr/>
      </xdr:nvSpPr>
      <xdr:spPr>
        <a:xfrm>
          <a:off x="68796535" y="1340485"/>
          <a:ext cx="1278890" cy="617220"/>
        </a:xfrm>
        <a:prstGeom prst="flowChartInputOutpu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Message Box Macro</a:t>
          </a:r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175260</xdr:colOff>
          <xdr:row>16</xdr:row>
          <xdr:rowOff>121920</xdr:rowOff>
        </xdr:from>
        <xdr:to>
          <xdr:col>60</xdr:col>
          <xdr:colOff>1280160</xdr:colOff>
          <xdr:row>18</xdr:row>
          <xdr:rowOff>167640</xdr:rowOff>
        </xdr:to>
        <xdr:sp macro="[0]!Test2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8884800" y="3230880"/>
              <a:ext cx="1104900" cy="44577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Button</a:t>
              </a:r>
              <a:endParaRPr lang="en-IN" sz="1000" b="0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8" refreshedVersion="8" minRefreshableVersion="3" refreshedDate="45240.4988322917" refreshedBy="Rajesh" recordCount="236">
  <cacheSource type="worksheet">
    <worksheetSource ref="A1:AR1048576" sheet="TABLE2"/>
  </cacheSource>
  <cacheFields count="44">
    <cacheField name="Channel Type" numFmtId="0"/>
    <cacheField name="Pay Type" numFmtId="0">
      <sharedItems containsBlank="1" count="7">
        <s v="FedeX"/>
        <s v="Cash"/>
        <s v="DHL"/>
        <s v="Debit"/>
        <s v="Cheque"/>
        <s v="Credit"/>
        <m/>
      </sharedItems>
    </cacheField>
    <cacheField name="Item Category" numFmtId="0">
      <sharedItems containsBlank="1" count="4">
        <s v="Cellular"/>
        <s v="Cosmetics"/>
        <s v="Electronics"/>
        <m/>
      </sharedItems>
    </cacheField>
    <cacheField name="Item ID" numFmtId="0"/>
    <cacheField name="Item code" numFmtId="0"/>
    <cacheField name="Item Name" numFmtId="0">
      <sharedItems containsBlank="1" count="7">
        <s v="ATT"/>
        <s v="Powder"/>
        <s v="Verizon"/>
        <s v="Laptop"/>
        <s v="Soap"/>
        <s v="DVD"/>
        <m/>
      </sharedItems>
    </cacheField>
    <cacheField name="Employee ID" numFmtId="0"/>
    <cacheField name="Employee Code" numFmtId="0"/>
    <cacheField name="Employee Name" numFmtId="0"/>
    <cacheField name="Employee Locations" numFmtId="0"/>
    <cacheField name="Employee Country" numFmtId="0"/>
    <cacheField name="Manager" numFmtId="0"/>
    <cacheField name="Department" numFmtId="0"/>
    <cacheField name="Sales Date" numFmtId="0"/>
    <cacheField name="Sales_Cost" numFmtId="0"/>
    <cacheField name="Sales_Amt" numFmtId="0"/>
    <cacheField name="Sales_Qty" numFmtId="0"/>
    <cacheField name="Sales Type" numFmtId="0"/>
    <cacheField name="Customer ID" numFmtId="0"/>
    <cacheField name="Customer Name" numFmtId="0"/>
    <cacheField name="Customer Location" numFmtId="0"/>
    <cacheField name="Customer Country" numFmtId="0"/>
    <cacheField name="IF Condittion" numFmtId="0"/>
    <cacheField name="OR condition" numFmtId="0"/>
    <cacheField name="AND condition" numFmtId="0"/>
    <cacheField name="Nested IF" numFmtId="0"/>
    <cacheField name="Not Function" numFmtId="0"/>
    <cacheField name="IFERROR condition" numFmtId="0"/>
    <cacheField name="VLOOKUP FUNCTION" numFmtId="0"/>
    <cacheField name="Match Function" numFmtId="0"/>
    <cacheField name="Lookup Function" numFmtId="0"/>
    <cacheField name="Upper Case" numFmtId="0"/>
    <cacheField name="Proper" numFmtId="0"/>
    <cacheField name="Right" numFmtId="0"/>
    <cacheField name="MID " numFmtId="0"/>
    <cacheField name="Flash fill" numFmtId="0"/>
    <cacheField name="TTC" numFmtId="0"/>
    <cacheField name="Text Function" numFmtId="0"/>
    <cacheField name="EOMONTH" numFmtId="0"/>
    <cacheField name="DATEDIFF function" numFmtId="0"/>
    <cacheField name="Number formating" numFmtId="0"/>
    <cacheField name="DATA BAR" numFmtId="0"/>
    <cacheField name="Custom Formating" numFmtId="0"/>
    <cacheField name="Customn Formating -1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s v="Post"/>
    <x v="0"/>
    <x v="0"/>
    <n v="30"/>
    <s v="P5"/>
    <x v="0"/>
    <n v="20"/>
    <s v="E20"/>
    <s v="Angela"/>
    <s v="IL"/>
    <s v="USA"/>
    <s v="Manager 3"/>
    <s v="Finance"/>
    <d v="2013-03-03T00:00:00"/>
    <n v="988"/>
    <n v="800"/>
    <n v="29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Angel"/>
    <s v="Inter"/>
    <s v="Angela"/>
    <n v="1284.4000000000001"/>
    <s v="Sunday"/>
    <d v="2013-05-06T00:00:00"/>
    <s v="2months,3days"/>
    <m/>
    <s v="||||||||||||||||||||||||||||||||||||||||||||||||||||||||||||||||||||||||||||||||||||||||||||||||||"/>
    <s v="Angela"/>
    <n v="-11"/>
  </r>
  <r>
    <s v="Post"/>
    <x v="0"/>
    <x v="0"/>
    <n v="30"/>
    <s v="P5"/>
    <x v="0"/>
    <n v="20"/>
    <s v="E20"/>
    <s v="Angela"/>
    <s v="IL"/>
    <s v="USA"/>
    <s v="Manager 3"/>
    <s v="Finance"/>
    <d v="2015-03-03T00:00:00"/>
    <n v="988"/>
    <n v="800"/>
    <n v="29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Angel"/>
    <s v="Inter"/>
    <s v="Angela"/>
    <n v="1284.4000000000001"/>
    <s v="Tuesday"/>
    <d v="2015-05-06T00:00:00"/>
    <s v="2months,3days"/>
    <m/>
    <s v="||||||||||||||||||||||||||||||||||||||||||||||||||||||||||||||||||||||||||||||||||||||||||||||||||"/>
    <s v="Angela"/>
    <n v="-13"/>
  </r>
  <r>
    <s v="Direct"/>
    <x v="1"/>
    <x v="1"/>
    <n v="20"/>
    <s v="P3"/>
    <x v="1"/>
    <n v="11"/>
    <s v="E11"/>
    <s v="George"/>
    <s v="MD"/>
    <s v="USA"/>
    <s v="Manager 4"/>
    <s v="Accounting"/>
    <d v="2012-01-02T00:00:00"/>
    <n v="1020"/>
    <n v="1100"/>
    <n v="20"/>
    <s v="International"/>
    <n v="110"/>
    <s v="Arjun"/>
    <s v="Washington"/>
    <s v="US"/>
    <s v="30%"/>
    <s v="20%"/>
    <s v="20%"/>
    <s v="Great Sales"/>
    <b v="1"/>
    <n v="1"/>
    <s v="Powder"/>
    <n v="1"/>
    <s v="Cash"/>
    <s v="GREAT SALES"/>
    <s v="True"/>
    <s v="Georg"/>
    <s v="Inter"/>
    <s v="George"/>
    <n v="1326"/>
    <s v="Monday"/>
    <d v="2012-03-06T00:00:00"/>
    <s v="2months,4days"/>
    <d v="2007-02-01T00:00:00"/>
    <s v="||||||||||||||||||||||||||||||||||||||||||||||||||||||||||||||||||||||||||||||||||||||||||||||||||||||"/>
    <s v="George"/>
    <n v="-1"/>
  </r>
  <r>
    <s v="Direct"/>
    <x v="1"/>
    <x v="1"/>
    <n v="20"/>
    <s v="P3"/>
    <x v="1"/>
    <n v="11"/>
    <s v="E11"/>
    <s v="George"/>
    <s v="MD"/>
    <s v="USA"/>
    <s v="Manager 4"/>
    <s v="Accounting"/>
    <d v="2014-01-02T00:00:00"/>
    <n v="1020"/>
    <n v="1100"/>
    <n v="20"/>
    <s v="International"/>
    <n v="110"/>
    <s v="Arjun"/>
    <s v="Washington"/>
    <s v="US"/>
    <s v="30%"/>
    <s v="20%"/>
    <s v="20%"/>
    <s v="Great Sales"/>
    <b v="1"/>
    <n v="1"/>
    <s v="Powder"/>
    <n v="1"/>
    <s v="Debit"/>
    <s v="GREAT SALES"/>
    <s v="True"/>
    <s v="Georg"/>
    <s v="Inter"/>
    <s v="George"/>
    <n v="1326"/>
    <s v="Thursday"/>
    <d v="2014-03-06T00:00:00"/>
    <s v="2months,4days"/>
    <m/>
    <s v="||||||||||||||||||||||||||||||||||||||||||||||||||||||||||||||||||||||||||||||||||||||||||||||||||||||"/>
    <s v="George"/>
    <n v="-93"/>
  </r>
  <r>
    <s v="Post"/>
    <x v="2"/>
    <x v="0"/>
    <n v="38"/>
    <s v="P6"/>
    <x v="2"/>
    <n v="27"/>
    <s v="E27"/>
    <s v="Hulk Hogan"/>
    <s v="WA"/>
    <s v="USA"/>
    <s v="Manager 7"/>
    <s v="Audit"/>
    <d v="2013-03-05T00:00:00"/>
    <n v="876"/>
    <n v="1500"/>
    <n v="36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Hulk "/>
    <s v="Inter"/>
    <s v="Hulk"/>
    <n v="1138.8"/>
    <s v="Tuesday"/>
    <d v="2013-05-06T00:00:00"/>
    <s v="2months,1days"/>
    <m/>
    <s v="|||||||||||||||||||||||||||||||||||||||||||||||||||||||||||||||||||||||||||||||||||||||"/>
    <s v="Hulk Hogan"/>
    <n v="88"/>
  </r>
  <r>
    <s v="Post"/>
    <x v="2"/>
    <x v="0"/>
    <n v="38"/>
    <s v="P6"/>
    <x v="2"/>
    <n v="27"/>
    <s v="E27"/>
    <s v="Hulk Hogan"/>
    <s v="WA"/>
    <s v="USA"/>
    <s v="Manager 7"/>
    <s v="Audit"/>
    <d v="2015-03-05T00:00:00"/>
    <n v="876"/>
    <n v="1500"/>
    <n v="36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Hulk "/>
    <s v="Inter"/>
    <s v="Hulk"/>
    <n v="1138.8"/>
    <s v="Thursday"/>
    <d v="2015-05-06T00:00:00"/>
    <s v="2months,1days"/>
    <m/>
    <s v="|||||||||||||||||||||||||||||||||||||||||||||||||||||||||||||||||||||||||||||||||||||||"/>
    <s v="Hulk Hogan"/>
    <n v="67"/>
  </r>
  <r>
    <s v="Post"/>
    <x v="0"/>
    <x v="0"/>
    <n v="30"/>
    <s v="P5"/>
    <x v="0"/>
    <n v="22"/>
    <s v="E22"/>
    <s v="Mark"/>
    <s v="IL"/>
    <s v="UK"/>
    <s v="Manager 3"/>
    <s v="Finance"/>
    <d v="2012-01-01T00:00:00"/>
    <n v="876"/>
    <n v="1000"/>
    <n v="31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Mark"/>
    <s v="Inter"/>
    <s v="Mark"/>
    <n v="1138.8"/>
    <s v="Sunday"/>
    <d v="2012-03-06T00:00:00"/>
    <s v="2months,5days"/>
    <n v="90.87"/>
    <s v="|||||||||||||||||||||||||||||||||||||||||||||||||||||||||||||||||||||||||||||||||||||||"/>
    <s v="Mark"/>
    <n v="57"/>
  </r>
  <r>
    <s v="Post"/>
    <x v="0"/>
    <x v="0"/>
    <n v="30"/>
    <s v="P5"/>
    <x v="0"/>
    <n v="22"/>
    <s v="E22"/>
    <s v="Mark"/>
    <s v="IL"/>
    <s v="USA"/>
    <s v="Manager 3"/>
    <s v="Finance"/>
    <d v="2014-01-01T00:00:00"/>
    <n v="876"/>
    <n v="1000"/>
    <n v="31"/>
    <s v="International"/>
    <n v="110"/>
    <s v="Arjun"/>
    <s v="Washington"/>
    <s v="US"/>
    <s v="30%"/>
    <s v="20%"/>
    <s v="20%"/>
    <s v="Great Sales"/>
    <b v="1"/>
    <n v="1"/>
    <s v="ATT"/>
    <n v="1"/>
    <s v="Credit"/>
    <s v="GREAT SALES"/>
    <s v="True"/>
    <s v="Mark"/>
    <s v="Inter"/>
    <s v="Mark"/>
    <n v="1138.8"/>
    <s v="Wednesday"/>
    <d v="2014-03-06T00:00:00"/>
    <s v="2months,5days"/>
    <m/>
    <s v="|||||||||||||||||||||||||||||||||||||||||||||||||||||||||||||||||||||||||||||||||||||||"/>
    <s v="Mark"/>
    <n v="20"/>
  </r>
  <r>
    <s v="Direct"/>
    <x v="1"/>
    <x v="1"/>
    <n v="20"/>
    <s v="P3"/>
    <x v="1"/>
    <n v="12"/>
    <s v="E12"/>
    <s v="Michel"/>
    <s v="NY"/>
    <s v="USA"/>
    <s v="Manager 5"/>
    <s v="Accounting"/>
    <d v="2013-03-02T00:00:00"/>
    <n v="1200"/>
    <n v="1200"/>
    <n v="21"/>
    <s v="International"/>
    <n v="110"/>
    <s v="Arjun"/>
    <s v="Washington"/>
    <s v="US"/>
    <s v="30%"/>
    <s v="20%"/>
    <s v="20%"/>
    <s v="Great Sales"/>
    <b v="1"/>
    <n v="1"/>
    <s v="Powder"/>
    <n v="1"/>
    <s v="Debit"/>
    <s v="GREAT SALES"/>
    <s v="True"/>
    <s v="Miche"/>
    <s v="Inter"/>
    <s v="Michel"/>
    <n v="1560"/>
    <s v="Saturday"/>
    <d v="2013-05-06T00:00:00"/>
    <s v="2months,4days"/>
    <m/>
    <s v="||||||||||||||||||||||||||||||||||||||||||||||||||||||||||||||||||||||||||||||||||||||||||||||||||||||||||||||||||||||||"/>
    <s v="Michel"/>
    <n v="10"/>
  </r>
  <r>
    <s v="Direct"/>
    <x v="1"/>
    <x v="1"/>
    <n v="20"/>
    <s v="P3"/>
    <x v="1"/>
    <n v="12"/>
    <s v="E12"/>
    <s v="Michel"/>
    <s v="NY"/>
    <s v="USA"/>
    <s v="Manager 5"/>
    <s v="Accounting"/>
    <d v="2015-03-02T00:00:00"/>
    <n v="1200"/>
    <n v="1200"/>
    <n v="21"/>
    <s v="International"/>
    <n v="110"/>
    <s v="Arjun"/>
    <s v="Washington"/>
    <s v="US"/>
    <s v="30%"/>
    <s v="20%"/>
    <s v="20%"/>
    <s v="Great Sales"/>
    <b v="1"/>
    <n v="1"/>
    <s v="Powder"/>
    <n v="1"/>
    <s v="Cash"/>
    <s v="GREAT SALES"/>
    <s v="True"/>
    <s v="Miche"/>
    <s v="Inter"/>
    <s v="Michel"/>
    <n v="1560"/>
    <s v="Monday"/>
    <d v="2015-05-06T00:00:00"/>
    <s v="2months,4days"/>
    <m/>
    <s v="||||||||||||||||||||||||||||||||||||||||||||||||||||||||||||||||||||||||||||||||||||||||||||||||||||||||||||||||||||||||"/>
    <s v="Michel"/>
    <n v="44"/>
  </r>
  <r>
    <s v="Online"/>
    <x v="3"/>
    <x v="2"/>
    <n v="10"/>
    <s v="P1"/>
    <x v="3"/>
    <n v="3"/>
    <s v="E3"/>
    <s v="Saurav"/>
    <s v="AP"/>
    <s v="India"/>
    <s v="Manager 1"/>
    <s v="Sales"/>
    <d v="2013-03-02T00:00:00"/>
    <n v="876"/>
    <n v="300"/>
    <n v="12"/>
    <s v="Domestic"/>
    <n v="110"/>
    <s v="Arjun"/>
    <s v="Washington"/>
    <s v="US"/>
    <s v="30%"/>
    <s v="20%"/>
    <n v="0"/>
    <s v="Great Sales"/>
    <b v="1"/>
    <n v="77"/>
    <s v="Laptop"/>
    <n v="77"/>
    <s v="Debit"/>
    <s v="GREAT SALES"/>
    <s v="True"/>
    <s v="Saura"/>
    <s v="Domes"/>
    <s v="Saurav"/>
    <n v="1138.8"/>
    <s v="Saturday"/>
    <d v="2013-05-06T00:00:00"/>
    <s v="2months,4days"/>
    <m/>
    <s v="|||||||||||||||||||||||||||||||||||||||||||||||||||||||||||||||||||||||||||||||||||||||"/>
    <s v="Saurav"/>
    <n v="66"/>
  </r>
  <r>
    <s v="Online"/>
    <x v="3"/>
    <x v="2"/>
    <n v="10"/>
    <s v="P1"/>
    <x v="3"/>
    <n v="3"/>
    <s v="E3"/>
    <s v="Saurav"/>
    <s v="AP"/>
    <s v="India"/>
    <s v="Manager 1"/>
    <s v="Sales"/>
    <d v="2015-03-02T00:00:00"/>
    <n v="876"/>
    <n v="300"/>
    <n v="12"/>
    <s v="Domestic"/>
    <n v="110"/>
    <s v="Arjun"/>
    <s v="Washington"/>
    <s v="US"/>
    <s v="30%"/>
    <s v="20%"/>
    <n v="0"/>
    <s v="Great Sales"/>
    <b v="1"/>
    <n v="76"/>
    <s v="Laptop"/>
    <n v="76"/>
    <s v="Debit"/>
    <s v="GREAT SALES"/>
    <s v="True"/>
    <s v="Saura"/>
    <s v="Domes"/>
    <s v="Saurav"/>
    <n v="1138.8"/>
    <s v="Monday"/>
    <d v="2015-05-06T00:00:00"/>
    <s v="2months,4days"/>
    <m/>
    <s v="|||||||||||||||||||||||||||||||||||||||||||||||||||||||||||||||||||||||||||||||||||||||"/>
    <s v="Saurav"/>
    <n v="83"/>
  </r>
  <r>
    <s v="Direct"/>
    <x v="1"/>
    <x v="1"/>
    <n v="20"/>
    <s v="P3"/>
    <x v="1"/>
    <n v="11"/>
    <s v="E11"/>
    <s v="George"/>
    <s v="MD"/>
    <s v="USA"/>
    <s v="Manager 4"/>
    <s v="Accounting"/>
    <d v="2013-03-03T00:00:00"/>
    <n v="1100"/>
    <n v="1100"/>
    <n v="20"/>
    <s v="Domestic"/>
    <n v="109"/>
    <s v="Arvind"/>
    <s v="AP"/>
    <s v="IN"/>
    <s v="30%"/>
    <s v="20%"/>
    <s v="20%"/>
    <s v="Great Sales"/>
    <b v="1"/>
    <n v="1"/>
    <s v="Powder"/>
    <n v="1"/>
    <s v="Debit"/>
    <s v="GREAT SALES"/>
    <s v="True"/>
    <s v="Georg"/>
    <s v="Domes"/>
    <s v="George"/>
    <n v="1430"/>
    <s v="Sunday"/>
    <d v="2013-05-06T00:00:00"/>
    <s v="2months,3days"/>
    <m/>
    <s v="||||||||||||||||||||||||||||||||||||||||||||||||||||||||||||||||||||||||||||||||||||||||||||||||||||||||||||||"/>
    <s v="George"/>
    <n v="99"/>
  </r>
  <r>
    <s v="Direct"/>
    <x v="1"/>
    <x v="1"/>
    <n v="20"/>
    <s v="P3"/>
    <x v="1"/>
    <n v="11"/>
    <s v="E11"/>
    <s v="George"/>
    <s v="MD"/>
    <s v="USA"/>
    <s v="Manager 4"/>
    <s v="Accounting"/>
    <d v="2015-03-03T00:00:00"/>
    <n v="1100"/>
    <n v="1100"/>
    <n v="20"/>
    <s v="Domestic"/>
    <n v="109"/>
    <s v="Arvind"/>
    <s v="AP"/>
    <s v="IN"/>
    <s v="30%"/>
    <s v="20%"/>
    <s v="20%"/>
    <s v="Great Sales"/>
    <b v="1"/>
    <n v="1"/>
    <s v="Powder"/>
    <n v="1"/>
    <s v="Credit"/>
    <s v="GREAT SALES"/>
    <s v="True"/>
    <s v="Georg"/>
    <s v="Domes"/>
    <s v="George"/>
    <n v="1430"/>
    <s v="Tuesday"/>
    <d v="2015-05-06T00:00:00"/>
    <s v="2months,3days"/>
    <m/>
    <s v="||||||||||||||||||||||||||||||||||||||||||||||||||||||||||||||||||||||||||||||||||||||||||||||||||||||||||||||"/>
    <s v="George"/>
    <n v="-19"/>
  </r>
  <r>
    <s v="Post"/>
    <x v="2"/>
    <x v="0"/>
    <n v="38"/>
    <s v="P6"/>
    <x v="2"/>
    <n v="26"/>
    <s v="E26"/>
    <s v="Javed"/>
    <s v="IL"/>
    <s v="USA"/>
    <s v="Manager 6"/>
    <s v="Audit"/>
    <d v="2013-03-04T00:00:00"/>
    <n v="798"/>
    <n v="1400"/>
    <n v="35"/>
    <s v="International"/>
    <n v="109"/>
    <s v="Arvind"/>
    <s v="AP"/>
    <s v="IN"/>
    <s v="30%"/>
    <s v="20%"/>
    <s v="20%"/>
    <s v="Moderate Sales"/>
    <b v="1"/>
    <n v="1"/>
    <s v="ATT"/>
    <n v="1"/>
    <s v="Credit"/>
    <s v="MODERATE SALES"/>
    <s v="True"/>
    <s v="Javed"/>
    <s v="Inter"/>
    <s v="Javed"/>
    <n v="1037.4000000000001"/>
    <s v="Monday"/>
    <d v="2013-05-06T00:00:00"/>
    <s v="2months,2days"/>
    <m/>
    <s v="|||||||||||||||||||||||||||||||||||||||||||||||||||||||||||||||||||||||||||||||"/>
    <s v="Javed"/>
    <n v="29"/>
  </r>
  <r>
    <s v="Post"/>
    <x v="2"/>
    <x v="0"/>
    <n v="38"/>
    <s v="P6"/>
    <x v="2"/>
    <n v="26"/>
    <s v="E26"/>
    <s v="Javed"/>
    <s v="IL"/>
    <s v="USA"/>
    <s v="Manager 6"/>
    <s v="Audit"/>
    <d v="2015-03-04T00:00:00"/>
    <n v="798"/>
    <n v="1400"/>
    <n v="35"/>
    <s v="International"/>
    <n v="109"/>
    <s v="Arvind"/>
    <s v="AP"/>
    <s v="IN"/>
    <s v="30%"/>
    <s v="20%"/>
    <s v="20%"/>
    <s v="Moderate Sales"/>
    <b v="1"/>
    <n v="1"/>
    <s v="ATT"/>
    <n v="1"/>
    <s v="Credit"/>
    <s v="MODERATE SALES"/>
    <s v="True"/>
    <s v="Javed"/>
    <s v="Inter"/>
    <s v="Javed"/>
    <n v="1037.4000000000001"/>
    <s v="Wednesday"/>
    <d v="2015-05-06T00:00:00"/>
    <s v="2months,2days"/>
    <m/>
    <s v="|||||||||||||||||||||||||||||||||||||||||||||||||||||||||||||||||||||||||||||||"/>
    <s v="Javed"/>
    <n v="-45"/>
  </r>
  <r>
    <s v="Direct"/>
    <x v="4"/>
    <x v="1"/>
    <n v="24"/>
    <s v="P4"/>
    <x v="4"/>
    <n v="19"/>
    <s v="E19"/>
    <s v="Kenny"/>
    <s v="TX"/>
    <s v="USA"/>
    <s v="Manager 3"/>
    <s v="Finance"/>
    <d v="2013-03-09T00:00:00"/>
    <n v="1020"/>
    <n v="700"/>
    <n v="28"/>
    <s v="Domestic"/>
    <n v="109"/>
    <s v="Arvind"/>
    <s v="AP"/>
    <s v="IN"/>
    <s v="30%"/>
    <s v="20%"/>
    <s v="20%"/>
    <s v="Great Sales"/>
    <b v="1"/>
    <n v="1"/>
    <s v="Powder"/>
    <n v="1"/>
    <s v="Credit"/>
    <s v="GREAT SALES"/>
    <s v="True"/>
    <s v="Kenny"/>
    <s v="Domes"/>
    <s v="Kenny"/>
    <n v="1326"/>
    <s v="Saturday"/>
    <d v="2013-05-06T00:00:00"/>
    <s v="1months,27days"/>
    <m/>
    <s v="||||||||||||||||||||||||||||||||||||||||||||||||||||||||||||||||||||||||||||||||||||||||||||||||||||||"/>
    <s v="Kenny"/>
    <n v="-90"/>
  </r>
  <r>
    <s v="Direct"/>
    <x v="4"/>
    <x v="1"/>
    <n v="24"/>
    <s v="P4"/>
    <x v="4"/>
    <n v="19"/>
    <s v="E19"/>
    <s v="Kenny"/>
    <s v="TX"/>
    <s v="USA"/>
    <s v="Manager 3"/>
    <s v="Finance"/>
    <d v="2015-03-09T00:00:00"/>
    <n v="1020"/>
    <n v="700"/>
    <n v="28"/>
    <s v="Domestic"/>
    <n v="109"/>
    <s v="Arvind"/>
    <s v="AP"/>
    <s v="IN"/>
    <s v="30%"/>
    <s v="20%"/>
    <s v="20%"/>
    <s v="Great Sales"/>
    <b v="1"/>
    <n v="1"/>
    <s v="Powder"/>
    <n v="1"/>
    <s v="Cash"/>
    <s v="GREAT SALES"/>
    <s v="True"/>
    <s v="Kenny"/>
    <s v="Domes"/>
    <s v="Kenny"/>
    <n v="1326"/>
    <s v="Monday"/>
    <d v="2015-05-06T00:00:00"/>
    <s v="1months,27days"/>
    <m/>
    <s v="||||||||||||||||||||||||||||||||||||||||||||||||||||||||||||||||||||||||||||||||||||||||||||||||||||||"/>
    <s v="Kenny"/>
    <n v="-28"/>
  </r>
  <r>
    <s v="Direct"/>
    <x v="1"/>
    <x v="1"/>
    <n v="20"/>
    <s v="P3"/>
    <x v="1"/>
    <n v="10"/>
    <s v="E10"/>
    <s v="Michael"/>
    <s v="VA"/>
    <s v="USA"/>
    <s v="Manager 5"/>
    <s v="Accounting"/>
    <d v="2012-01-01T00:00:00"/>
    <n v="876"/>
    <n v="1000"/>
    <n v="19"/>
    <s v="Domestic"/>
    <n v="109"/>
    <s v="Arvind"/>
    <s v="AP"/>
    <s v="IN"/>
    <s v="30%"/>
    <s v="20%"/>
    <s v="20%"/>
    <s v="Great Sales"/>
    <b v="1"/>
    <n v="1"/>
    <s v="Powder"/>
    <n v="1"/>
    <s v="Cash"/>
    <s v="GREAT SALES"/>
    <s v="True"/>
    <s v="Micha"/>
    <s v="Domes"/>
    <s v="Michael"/>
    <n v="1138.8"/>
    <s v="Sunday"/>
    <d v="2012-03-06T00:00:00"/>
    <s v="2months,5days"/>
    <d v="2007-12-01T00:00:00"/>
    <s v="|||||||||||||||||||||||||||||||||||||||||||||||||||||||||||||||||||||||||||||||||||||||"/>
    <s v="Michael"/>
    <n v="-93"/>
  </r>
  <r>
    <s v="Direct"/>
    <x v="1"/>
    <x v="1"/>
    <n v="20"/>
    <s v="P3"/>
    <x v="1"/>
    <n v="10"/>
    <s v="E10"/>
    <s v="Michael"/>
    <s v="VA"/>
    <s v="USA"/>
    <s v="Manager 5"/>
    <s v="Accounting"/>
    <d v="2014-01-01T00:00:00"/>
    <n v="876"/>
    <n v="1000"/>
    <n v="19"/>
    <s v="Domestic"/>
    <n v="109"/>
    <s v="Arvind"/>
    <s v="AP"/>
    <s v="IN"/>
    <s v="30%"/>
    <s v="20%"/>
    <s v="20%"/>
    <s v="Great Sales"/>
    <b v="1"/>
    <n v="1"/>
    <s v="Powder"/>
    <n v="1"/>
    <s v="Debit"/>
    <s v="GREAT SALES"/>
    <s v="True"/>
    <s v="Micha"/>
    <s v="Domes"/>
    <s v="Michael"/>
    <n v="1138.8"/>
    <s v="Wednesday"/>
    <d v="2014-03-06T00:00:00"/>
    <s v="2months,5days"/>
    <m/>
    <s v="|||||||||||||||||||||||||||||||||||||||||||||||||||||||||||||||||||||||||||||||||||||||"/>
    <s v="Michael"/>
    <n v="-929"/>
  </r>
  <r>
    <s v="Online"/>
    <x v="3"/>
    <x v="2"/>
    <n v="10"/>
    <s v="P1"/>
    <x v="3"/>
    <n v="2"/>
    <s v="E2"/>
    <s v="Rahul Dravid"/>
    <s v="AP"/>
    <s v="India"/>
    <s v="Manager 1"/>
    <s v="Sales"/>
    <d v="2013-03-03T00:00:00"/>
    <n v="798"/>
    <n v="200"/>
    <n v="11"/>
    <s v="International"/>
    <n v="109"/>
    <s v="Arvind"/>
    <s v="AP"/>
    <s v="IN"/>
    <s v="30%"/>
    <s v="20%"/>
    <n v="0"/>
    <s v="Moderate Sales"/>
    <b v="1"/>
    <n v="67"/>
    <s v="Laptop"/>
    <n v="67"/>
    <s v="Debit"/>
    <s v="MODERATE SALES"/>
    <s v="True"/>
    <s v="Rahul"/>
    <s v="Inter"/>
    <s v="Rahul"/>
    <n v="1037.4000000000001"/>
    <s v="Sunday"/>
    <d v="2013-05-06T00:00:00"/>
    <s v="2months,3days"/>
    <m/>
    <s v="|||||||||||||||||||||||||||||||||||||||||||||||||||||||||||||||||||||||||||||||"/>
    <s v="Rahul Dravid"/>
    <n v="92"/>
  </r>
  <r>
    <s v="Online"/>
    <x v="3"/>
    <x v="2"/>
    <n v="10"/>
    <s v="P1"/>
    <x v="3"/>
    <n v="2"/>
    <s v="E2"/>
    <s v="Rahul Dravid"/>
    <s v="AP"/>
    <s v="India"/>
    <s v="Manager 1"/>
    <s v="Sales"/>
    <d v="2015-03-03T00:00:00"/>
    <n v="798"/>
    <n v="200"/>
    <n v="11"/>
    <s v="International"/>
    <n v="109"/>
    <s v="Arvind"/>
    <s v="AP"/>
    <s v="IN"/>
    <s v="30%"/>
    <s v="20%"/>
    <n v="0"/>
    <s v="Moderate Sales"/>
    <b v="1"/>
    <n v="66"/>
    <s v="Laptop"/>
    <n v="66"/>
    <s v="Debit"/>
    <s v="MODERATE SALES"/>
    <s v="True"/>
    <s v="Rahul"/>
    <s v="Inter"/>
    <s v="Rahul"/>
    <n v="1037.4000000000001"/>
    <s v="Tuesday"/>
    <d v="2015-05-06T00:00:00"/>
    <s v="2months,3days"/>
    <m/>
    <s v="|||||||||||||||||||||||||||||||||||||||||||||||||||||||||||||||||||||||||||||||"/>
    <s v="Rahul Dravid"/>
    <n v="-56"/>
  </r>
  <r>
    <s v="Post"/>
    <x v="0"/>
    <x v="0"/>
    <n v="30"/>
    <s v="P5"/>
    <x v="0"/>
    <n v="21"/>
    <s v="E21"/>
    <s v="Simon"/>
    <s v="TX"/>
    <s v="UK"/>
    <s v="Manager 3"/>
    <s v="Finance"/>
    <d v="2012-01-03T00:00:00"/>
    <n v="798"/>
    <n v="900"/>
    <n v="30"/>
    <s v="Domestic"/>
    <n v="109"/>
    <s v="Arvind"/>
    <s v="AP"/>
    <s v="IN"/>
    <s v="30%"/>
    <s v="20%"/>
    <s v="20%"/>
    <s v="Moderate Sales"/>
    <b v="1"/>
    <n v="1"/>
    <s v="ATT"/>
    <n v="1"/>
    <s v="Credit"/>
    <s v="MODERATE SALES"/>
    <s v="True"/>
    <s v="Simon"/>
    <s v="Domes"/>
    <s v="Simon"/>
    <n v="1037.4000000000001"/>
    <s v="Tuesday"/>
    <d v="2012-03-06T00:00:00"/>
    <s v="2months,3days"/>
    <n v="50.67"/>
    <s v="|||||||||||||||||||||||||||||||||||||||||||||||||||||||||||||||||||||||||||||||"/>
    <s v="Simon"/>
    <n v="90"/>
  </r>
  <r>
    <s v="Post"/>
    <x v="0"/>
    <x v="0"/>
    <n v="30"/>
    <s v="P5"/>
    <x v="0"/>
    <n v="21"/>
    <s v="E21"/>
    <s v="Simon"/>
    <s v="TX"/>
    <s v="USA"/>
    <s v="Manager 3"/>
    <s v="Finance"/>
    <d v="2014-01-03T00:00:00"/>
    <n v="798"/>
    <n v="900"/>
    <n v="30"/>
    <s v="Domestic"/>
    <n v="109"/>
    <s v="Arvind"/>
    <s v="AP"/>
    <s v="IN"/>
    <s v="30%"/>
    <s v="20%"/>
    <s v="20%"/>
    <s v="Moderate Sales"/>
    <b v="1"/>
    <n v="1"/>
    <s v="ATT"/>
    <n v="1"/>
    <s v="Credit"/>
    <s v="MODERATE SALES"/>
    <s v="True"/>
    <s v="Simon"/>
    <s v="Domes"/>
    <s v="Simon"/>
    <n v="1037.4000000000001"/>
    <s v="Friday"/>
    <d v="2014-03-06T00:00:00"/>
    <s v="2months,3days"/>
    <m/>
    <s v="|||||||||||||||||||||||||||||||||||||||||||||||||||||||||||||||||||||||||||||||"/>
    <s v="Simon"/>
    <n v="67"/>
  </r>
  <r>
    <s v="Direct"/>
    <x v="4"/>
    <x v="1"/>
    <n v="24"/>
    <s v="P4"/>
    <x v="4"/>
    <n v="17"/>
    <s v="E17"/>
    <s v="Andy Marsh"/>
    <s v="MD"/>
    <s v="USA"/>
    <s v="Manager 4"/>
    <s v="Accounting"/>
    <d v="2013-03-07T00:00:00"/>
    <n v="798"/>
    <n v="500"/>
    <n v="26"/>
    <s v="International"/>
    <n v="107"/>
    <s v="Charan"/>
    <s v="Washington"/>
    <s v="US"/>
    <s v="30%"/>
    <s v="20%"/>
    <s v="20%"/>
    <s v="Moderate Sales"/>
    <b v="1"/>
    <n v="1"/>
    <s v="Powder"/>
    <n v="1"/>
    <s v="Debit"/>
    <s v="MODERATE SALES"/>
    <s v="True"/>
    <s v="Andy "/>
    <s v="Inter"/>
    <s v="Andy"/>
    <n v="1037.4000000000001"/>
    <s v="Thursday"/>
    <d v="2013-05-06T00:00:00"/>
    <s v="1months,29days"/>
    <m/>
    <s v="|||||||||||||||||||||||||||||||||||||||||||||||||||||||||||||||||||||||||||||||"/>
    <s v="Andy Marsh"/>
    <n v="-89"/>
  </r>
  <r>
    <s v="Direct"/>
    <x v="4"/>
    <x v="1"/>
    <n v="24"/>
    <s v="P4"/>
    <x v="4"/>
    <n v="17"/>
    <s v="E17"/>
    <s v="Andy Marsh"/>
    <s v="MD"/>
    <s v="USA"/>
    <s v="Manager 4"/>
    <s v="Accounting"/>
    <d v="2015-03-07T00:00:00"/>
    <n v="798"/>
    <n v="500"/>
    <n v="26"/>
    <s v="International"/>
    <n v="107"/>
    <s v="Charan"/>
    <s v="Washington"/>
    <s v="US"/>
    <s v="30%"/>
    <s v="20%"/>
    <s v="20%"/>
    <s v="Moderate Sales"/>
    <b v="1"/>
    <n v="1"/>
    <s v="Powder"/>
    <n v="1"/>
    <s v="Debit"/>
    <s v="MODERATE SALES"/>
    <s v="True"/>
    <s v="Andy "/>
    <s v="Inter"/>
    <s v="Andy"/>
    <n v="1037.4000000000001"/>
    <s v="Saturday"/>
    <d v="2015-05-06T00:00:00"/>
    <s v="1months,29days"/>
    <m/>
    <s v="|||||||||||||||||||||||||||||||||||||||||||||||||||||||||||||||||||||||||||||||"/>
    <s v="Andy Marsh"/>
    <m/>
  </r>
  <r>
    <s v="Online"/>
    <x v="5"/>
    <x v="2"/>
    <n v="14"/>
    <s v="P2"/>
    <x v="5"/>
    <n v="8"/>
    <s v="E8"/>
    <s v="Gautam"/>
    <s v="HR"/>
    <s v="India"/>
    <s v="Manager 2"/>
    <s v="Sales"/>
    <d v="2012-01-08T00:00:00"/>
    <n v="700"/>
    <n v="800"/>
    <n v="17"/>
    <s v="International"/>
    <n v="107"/>
    <s v="Charan"/>
    <s v="Washington"/>
    <s v="US"/>
    <s v="30%"/>
    <s v="20%"/>
    <s v="20%"/>
    <s v="Moderate Sales"/>
    <b v="1"/>
    <n v="1"/>
    <s v="Laptop"/>
    <n v="1"/>
    <s v="Credit"/>
    <s v="MODERATE SALES"/>
    <s v="True"/>
    <s v="Gauta"/>
    <s v="Inter"/>
    <s v="Gautam"/>
    <n v="910"/>
    <s v="Sunday"/>
    <d v="2012-03-06T00:00:00"/>
    <s v="1months,27days"/>
    <d v="2001-01-01T00:00:00"/>
    <s v="||||||||||||||||||||||||||||||||||||||||||||||||||||||||||||||||||||||"/>
    <s v="Gautam"/>
    <m/>
  </r>
  <r>
    <s v="Online"/>
    <x v="5"/>
    <x v="2"/>
    <n v="14"/>
    <s v="P2"/>
    <x v="5"/>
    <n v="8"/>
    <s v="E8"/>
    <s v="Gautam"/>
    <s v="HR"/>
    <s v="India"/>
    <s v="Manager 2"/>
    <s v="Sales"/>
    <d v="2014-01-08T00:00:00"/>
    <n v="700"/>
    <n v="800"/>
    <n v="17"/>
    <s v="International"/>
    <n v="107"/>
    <s v="Charan"/>
    <s v="Washington"/>
    <s v="US"/>
    <s v="30%"/>
    <s v="20%"/>
    <s v="20%"/>
    <s v="Moderate Sales"/>
    <b v="1"/>
    <n v="1"/>
    <s v="Laptop"/>
    <n v="1"/>
    <s v="Credit"/>
    <s v="MODERATE SALES"/>
    <s v="True"/>
    <s v="Gauta"/>
    <s v="Inter"/>
    <s v="Gautam"/>
    <n v="910"/>
    <s v="Wednesday"/>
    <d v="2014-03-06T00:00:00"/>
    <s v="1months,26days"/>
    <m/>
    <s v="||||||||||||||||||||||||||||||||||||||||||||||||||||||||||||||||||||||"/>
    <s v="Gautam"/>
    <m/>
  </r>
  <r>
    <s v="Post"/>
    <x v="0"/>
    <x v="0"/>
    <n v="30"/>
    <s v="P5"/>
    <x v="0"/>
    <n v="24"/>
    <s v="E24"/>
    <s v="John"/>
    <s v="IL"/>
    <s v="USA"/>
    <s v="Manager 3"/>
    <s v="Finance"/>
    <d v="2013-03-02T00:00:00"/>
    <n v="680"/>
    <n v="1200"/>
    <n v="33"/>
    <s v="Domestic"/>
    <n v="107"/>
    <s v="Charan"/>
    <s v="Washington"/>
    <s v="US"/>
    <s v="30%"/>
    <s v="20%"/>
    <s v="20%"/>
    <s v="Moderate Sales"/>
    <b v="1"/>
    <n v="1"/>
    <s v="ATT"/>
    <n v="1"/>
    <s v="Cheque"/>
    <s v="MODERATE SALES"/>
    <s v="True"/>
    <s v="John"/>
    <s v="Domes"/>
    <s v="John"/>
    <n v="884"/>
    <s v="Saturday"/>
    <d v="2013-05-06T00:00:00"/>
    <s v="2months,4days"/>
    <m/>
    <s v="||||||||||||||||||||||||||||||||||||||||||||||||||||||||||||||||||||"/>
    <s v="John"/>
    <m/>
  </r>
  <r>
    <s v="Post"/>
    <x v="0"/>
    <x v="0"/>
    <n v="30"/>
    <s v="P5"/>
    <x v="0"/>
    <n v="24"/>
    <s v="E24"/>
    <s v="John"/>
    <s v="IL"/>
    <s v="USA"/>
    <s v="Manager 3"/>
    <s v="Finance"/>
    <d v="2015-03-02T00:00:00"/>
    <n v="680"/>
    <n v="1200"/>
    <n v="33"/>
    <s v="Domestic"/>
    <n v="107"/>
    <s v="Charan"/>
    <s v="Washington"/>
    <s v="US"/>
    <s v="30%"/>
    <s v="20%"/>
    <s v="20%"/>
    <s v="Moderate Sales"/>
    <b v="1"/>
    <n v="1"/>
    <s v="ATT"/>
    <n v="1"/>
    <s v="Credit"/>
    <s v="MODERATE SALES"/>
    <s v="True"/>
    <s v="John"/>
    <s v="Domes"/>
    <s v="John"/>
    <n v="884"/>
    <s v="Monday"/>
    <d v="2015-05-06T00:00:00"/>
    <s v="2months,4days"/>
    <m/>
    <s v="||||||||||||||||||||||||||||||||||||||||||||||||||||||||||||||||||||"/>
    <s v="John"/>
    <m/>
  </r>
  <r>
    <s v="Post"/>
    <x v="2"/>
    <x v="0"/>
    <n v="38"/>
    <s v="P6"/>
    <x v="2"/>
    <n v="29"/>
    <s v="E29"/>
    <s v="Kaushik"/>
    <s v="TX"/>
    <s v="UK"/>
    <s v="Manager 9"/>
    <s v="Audit"/>
    <d v="2012-03-08T00:00:00"/>
    <n v="680"/>
    <n v="1600"/>
    <n v="38"/>
    <s v="Domestic"/>
    <n v="107"/>
    <s v="Charan"/>
    <s v="Washington"/>
    <s v="US"/>
    <s v="30%"/>
    <s v="20%"/>
    <s v="20%"/>
    <s v="Moderate Sales"/>
    <b v="1"/>
    <n v="1"/>
    <s v="ATT"/>
    <n v="1"/>
    <s v="Credit"/>
    <s v="MODERATE SALES"/>
    <s v="True"/>
    <s v="Kaush"/>
    <s v="Domes"/>
    <s v="Kaushik"/>
    <n v="884"/>
    <s v="Thursday"/>
    <d v="2012-05-06T00:00:00"/>
    <s v="1months,28days"/>
    <m/>
    <s v="||||||||||||||||||||||||||||||||||||||||||||||||||||||||||||||||||||"/>
    <s v="Kaushik"/>
    <m/>
  </r>
  <r>
    <s v="Post"/>
    <x v="2"/>
    <x v="0"/>
    <n v="38"/>
    <s v="P6"/>
    <x v="2"/>
    <n v="29"/>
    <s v="E29"/>
    <s v="Kaushik"/>
    <s v="TX"/>
    <s v="USA"/>
    <s v="Manager 9"/>
    <s v="Audit"/>
    <d v="2014-03-08T00:00:00"/>
    <n v="680"/>
    <n v="1600"/>
    <n v="38"/>
    <s v="Domestic"/>
    <n v="107"/>
    <s v="Charan"/>
    <s v="Washington"/>
    <s v="US"/>
    <s v="30%"/>
    <s v="20%"/>
    <s v="20%"/>
    <s v="Moderate Sales"/>
    <b v="1"/>
    <n v="1"/>
    <s v="ATT"/>
    <n v="1"/>
    <s v="Credit"/>
    <s v="MODERATE SALES"/>
    <s v="True"/>
    <s v="Kaush"/>
    <s v="Domes"/>
    <s v="Kaushik"/>
    <n v="884"/>
    <s v="Saturday"/>
    <d v="2014-05-06T00:00:00"/>
    <s v="1months,28days"/>
    <m/>
    <s v="||||||||||||||||||||||||||||||||||||||||||||||||||||||||||||||||||||"/>
    <s v="Kaushik"/>
    <m/>
  </r>
  <r>
    <s v="Direct"/>
    <x v="4"/>
    <x v="1"/>
    <n v="24"/>
    <s v="P4"/>
    <x v="4"/>
    <n v="19"/>
    <s v="E19"/>
    <s v="Kenny"/>
    <s v="TX"/>
    <s v="UK"/>
    <s v="Manager 3"/>
    <s v="Finance"/>
    <d v="2012-01-01T00:00:00"/>
    <n v="680"/>
    <n v="700"/>
    <n v="28"/>
    <s v="International"/>
    <n v="107"/>
    <s v="Charan"/>
    <s v="Washington"/>
    <s v="US"/>
    <s v="30%"/>
    <s v="20%"/>
    <s v="20%"/>
    <s v="Moderate Sales"/>
    <b v="1"/>
    <n v="1"/>
    <s v="Powder"/>
    <n v="1"/>
    <s v="Debit"/>
    <s v="MODERATE SALES"/>
    <s v="True"/>
    <s v="Kenny"/>
    <s v="Inter"/>
    <s v="Kenny"/>
    <n v="884"/>
    <s v="Sunday"/>
    <d v="2012-03-06T00:00:00"/>
    <s v="2months,5days"/>
    <n v="19.45"/>
    <s v="||||||||||||||||||||||||||||||||||||||||||||||||||||||||||||||||||||"/>
    <s v="Kenny"/>
    <m/>
  </r>
  <r>
    <s v="Direct"/>
    <x v="4"/>
    <x v="1"/>
    <n v="24"/>
    <s v="P4"/>
    <x v="4"/>
    <n v="19"/>
    <s v="E19"/>
    <s v="Kenny"/>
    <s v="TX"/>
    <s v="USA"/>
    <s v="Manager 3"/>
    <s v="Finance"/>
    <d v="2014-01-01T00:00:00"/>
    <n v="680"/>
    <n v="700"/>
    <n v="28"/>
    <s v="International"/>
    <n v="107"/>
    <s v="Charan"/>
    <s v="Washington"/>
    <s v="US"/>
    <s v="30%"/>
    <s v="20%"/>
    <s v="20%"/>
    <s v="Moderate Sales"/>
    <b v="1"/>
    <n v="1"/>
    <s v="Powder"/>
    <n v="1"/>
    <s v="Cash"/>
    <s v="MODERATE SALES"/>
    <s v="True"/>
    <s v="Kenny"/>
    <s v="Inter"/>
    <s v="Kenny"/>
    <n v="884"/>
    <s v="Wednesday"/>
    <d v="2014-03-06T00:00:00"/>
    <s v="2months,5days"/>
    <m/>
    <s v="||||||||||||||||||||||||||||||||||||||||||||||||||||||||||||||||||||"/>
    <s v="Kenny"/>
    <m/>
  </r>
  <r>
    <s v="Online"/>
    <x v="5"/>
    <x v="2"/>
    <n v="14"/>
    <s v="P2"/>
    <x v="5"/>
    <n v="9"/>
    <s v="E9"/>
    <s v="Zaheer Khan"/>
    <s v="HR"/>
    <s v="India"/>
    <s v="Manager 4"/>
    <s v="Accounting"/>
    <d v="2013-03-08T00:00:00"/>
    <n v="900"/>
    <n v="900"/>
    <n v="18"/>
    <s v="Domestic"/>
    <n v="107"/>
    <s v="Charan"/>
    <s v="Washington"/>
    <s v="US"/>
    <s v="30%"/>
    <s v="20%"/>
    <s v="20%"/>
    <s v="Great Sales"/>
    <b v="1"/>
    <n v="1"/>
    <s v="Laptop"/>
    <n v="1"/>
    <s v="Credit"/>
    <s v="GREAT SALES"/>
    <s v="True"/>
    <s v="Zahee"/>
    <s v="Domes"/>
    <s v="Zaheer"/>
    <n v="1170"/>
    <s v="Friday"/>
    <d v="2013-05-06T00:00:00"/>
    <s v="1months,28days"/>
    <m/>
    <s v="||||||||||||||||||||||||||||||||||||||||||||||||||||||||||||||||||||||||||||||||||||||||||"/>
    <s v="Zaheer Khan"/>
    <m/>
  </r>
  <r>
    <s v="Online"/>
    <x v="5"/>
    <x v="2"/>
    <n v="14"/>
    <s v="P2"/>
    <x v="5"/>
    <n v="9"/>
    <s v="E9"/>
    <s v="Zaheer Khan"/>
    <s v="HR"/>
    <s v="India"/>
    <s v="Manager 4"/>
    <s v="Accounting"/>
    <d v="2015-03-08T00:00:00"/>
    <n v="900"/>
    <n v="900"/>
    <n v="18"/>
    <s v="Domestic"/>
    <n v="107"/>
    <s v="Charan"/>
    <s v="Washington"/>
    <s v="US"/>
    <s v="30%"/>
    <s v="20%"/>
    <s v="20%"/>
    <s v="Great Sales"/>
    <b v="1"/>
    <n v="1"/>
    <s v="Laptop"/>
    <n v="1"/>
    <s v="Credit"/>
    <s v="GREAT SALES"/>
    <s v="True"/>
    <s v="Zahee"/>
    <s v="Domes"/>
    <s v="Zaheer"/>
    <n v="1170"/>
    <s v="Sunday"/>
    <d v="2015-05-06T00:00:00"/>
    <s v="1months,28days"/>
    <m/>
    <s v="||||||||||||||||||||||||||||||||||||||||||||||||||||||||||||||||||||||||||||||||||||||||||"/>
    <s v="Zaheer Khan"/>
    <m/>
  </r>
  <r>
    <s v="Post"/>
    <x v="2"/>
    <x v="0"/>
    <n v="38"/>
    <s v="P6"/>
    <x v="2"/>
    <n v="27"/>
    <s v="E27"/>
    <s v="Hulk Hogan"/>
    <s v="WA"/>
    <s v="UK"/>
    <s v="Manager 7"/>
    <s v="Audit"/>
    <d v="2012-01-06T00:00:00"/>
    <n v="1500"/>
    <n v="1500"/>
    <n v="36"/>
    <s v="Domestic"/>
    <n v="104"/>
    <s v="Mahesh"/>
    <s v="New York"/>
    <s v="US"/>
    <s v="30%"/>
    <s v="20%"/>
    <s v="20%"/>
    <s v="Great Sales"/>
    <b v="1"/>
    <n v="1"/>
    <s v="ATT"/>
    <n v="1"/>
    <s v="Credit"/>
    <s v="GREAT SALES"/>
    <s v="True"/>
    <s v="Hulk "/>
    <s v="Domes"/>
    <s v="Hulk"/>
    <n v="1950"/>
    <s v="Friday"/>
    <d v="2012-03-06T00:00:00"/>
    <s v="2months,0days"/>
    <m/>
    <s v="||||||||||||||||||||||||||||||||||||||||||||||||||||||||||||||||||||||||||||||||||||||||||||||||||||||||||||||||||||||||||||||||||||||||||||||||||||||"/>
    <s v="Hulk Hogan"/>
    <m/>
  </r>
  <r>
    <s v="Post"/>
    <x v="2"/>
    <x v="0"/>
    <n v="38"/>
    <s v="P6"/>
    <x v="2"/>
    <n v="27"/>
    <s v="E27"/>
    <s v="Hulk Hogan"/>
    <s v="WA"/>
    <s v="USA"/>
    <s v="Manager 7"/>
    <s v="Audit"/>
    <d v="2014-01-06T00:00:00"/>
    <n v="1500"/>
    <n v="1500"/>
    <n v="36"/>
    <s v="Domestic"/>
    <n v="104"/>
    <s v="Mahesh"/>
    <s v="New York"/>
    <s v="US"/>
    <s v="30%"/>
    <s v="20%"/>
    <s v="20%"/>
    <s v="Great Sales"/>
    <b v="1"/>
    <n v="1"/>
    <s v="ATT"/>
    <n v="1"/>
    <s v="Credit"/>
    <s v="GREAT SALES"/>
    <s v="True"/>
    <s v="Hulk "/>
    <s v="Domes"/>
    <s v="Hulk"/>
    <n v="1950"/>
    <s v="Monday"/>
    <d v="2014-03-06T00:00:00"/>
    <s v="2months,0days"/>
    <m/>
    <s v="||||||||||||||||||||||||||||||||||||||||||||||||||||||||||||||||||||||||||||||||||||||||||||||||||||||||||||||||||||||||||||||||||||||||||||||||||||||"/>
    <s v="Hulk Hogan"/>
    <m/>
  </r>
  <r>
    <s v="Direct"/>
    <x v="4"/>
    <x v="1"/>
    <n v="24"/>
    <s v="P4"/>
    <x v="4"/>
    <n v="16"/>
    <s v="E16"/>
    <s v="Mark Waugh"/>
    <s v="VA"/>
    <s v="USA"/>
    <s v="Manager 5"/>
    <s v="Accounting"/>
    <d v="2012-01-07T00:00:00"/>
    <n v="400"/>
    <n v="400"/>
    <n v="25"/>
    <s v="International"/>
    <n v="104"/>
    <s v="Mahesh"/>
    <s v="New York"/>
    <s v="US"/>
    <s v="30%"/>
    <s v="20%"/>
    <s v="20%"/>
    <s v="Poor Sales"/>
    <b v="1"/>
    <n v="1"/>
    <s v="Powder"/>
    <n v="1"/>
    <s v="Cash"/>
    <s v="POOR SALES"/>
    <s v="True"/>
    <s v="Mark "/>
    <s v="Inter"/>
    <s v="Mark"/>
    <n v="520"/>
    <s v="Saturday"/>
    <d v="2012-03-06T00:00:00"/>
    <s v="1months,28days"/>
    <d v="1899-12-30T21:00:00"/>
    <s v="||||||||||||||||||||||||||||||||||||||||"/>
    <s v="Mark Waugh"/>
    <m/>
  </r>
  <r>
    <s v="Direct"/>
    <x v="4"/>
    <x v="1"/>
    <n v="24"/>
    <s v="P4"/>
    <x v="4"/>
    <n v="16"/>
    <s v="E16"/>
    <s v="Mark Waugh"/>
    <s v="VA"/>
    <s v="USA"/>
    <s v="Manager 5"/>
    <s v="Accounting"/>
    <d v="2014-01-07T00:00:00"/>
    <n v="400"/>
    <n v="400"/>
    <n v="25"/>
    <s v="International"/>
    <n v="104"/>
    <s v="Mahesh"/>
    <s v="New York"/>
    <s v="US"/>
    <s v="30%"/>
    <s v="20%"/>
    <s v="20%"/>
    <s v="Poor Sales"/>
    <b v="1"/>
    <n v="1"/>
    <s v="Powder"/>
    <n v="1"/>
    <s v="Debit"/>
    <s v="POOR SALES"/>
    <s v="True"/>
    <s v="Mark "/>
    <s v="Inter"/>
    <s v="Mark"/>
    <n v="520"/>
    <s v="Tuesday"/>
    <d v="2014-03-06T00:00:00"/>
    <s v="1months,27days"/>
    <m/>
    <s v="||||||||||||||||||||||||||||||||||||||||"/>
    <s v="Mark Waugh"/>
    <m/>
  </r>
  <r>
    <s v="Online"/>
    <x v="5"/>
    <x v="2"/>
    <n v="14"/>
    <s v="P2"/>
    <x v="5"/>
    <n v="5"/>
    <s v="E5"/>
    <s v="Rahul Gandhi"/>
    <s v="HR"/>
    <s v="India"/>
    <s v="Manager 2"/>
    <s v="Sales"/>
    <d v="2012-01-05T00:00:00"/>
    <n v="400"/>
    <n v="500"/>
    <n v="14"/>
    <s v="International"/>
    <n v="104"/>
    <s v="Mahesh"/>
    <s v="New York"/>
    <s v="US"/>
    <s v="30%"/>
    <s v="20%"/>
    <s v="20%"/>
    <s v="Poor Sales"/>
    <b v="1"/>
    <n v="1"/>
    <s v="Laptop"/>
    <n v="1"/>
    <s v="Debit"/>
    <s v="POOR SALES"/>
    <s v="True"/>
    <s v="Rahul"/>
    <s v="Inter"/>
    <s v="Rahul"/>
    <n v="520"/>
    <s v="Thursday"/>
    <d v="2012-03-06T00:00:00"/>
    <s v="2months,1days"/>
    <d v="2015-08-01T00:00:00"/>
    <s v="||||||||||||||||||||||||||||||||||||||||"/>
    <s v="Rahul Gandhi"/>
    <m/>
  </r>
  <r>
    <s v="Online"/>
    <x v="5"/>
    <x v="2"/>
    <n v="14"/>
    <s v="P2"/>
    <x v="5"/>
    <n v="5"/>
    <s v="E5"/>
    <s v="Rahul Gandhi"/>
    <s v="HR"/>
    <s v="India"/>
    <s v="Manager 2"/>
    <s v="Sales"/>
    <d v="2014-01-05T00:00:00"/>
    <n v="400"/>
    <n v="500"/>
    <n v="14"/>
    <s v="International"/>
    <n v="104"/>
    <s v="Mahesh"/>
    <s v="New York"/>
    <s v="US"/>
    <s v="30%"/>
    <s v="20%"/>
    <s v="20%"/>
    <s v="Poor Sales"/>
    <b v="1"/>
    <n v="1"/>
    <s v="Laptop"/>
    <n v="1"/>
    <s v="Debit"/>
    <s v="POOR SALES"/>
    <s v="True"/>
    <s v="Rahul"/>
    <s v="Inter"/>
    <s v="Rahul"/>
    <n v="520"/>
    <s v="Sunday"/>
    <d v="2014-03-06T00:00:00"/>
    <s v="2months,1days"/>
    <m/>
    <s v="||||||||||||||||||||||||||||||||||||||||"/>
    <s v="Rahul Gandhi"/>
    <m/>
  </r>
  <r>
    <s v="Direct"/>
    <x v="4"/>
    <x v="1"/>
    <n v="24"/>
    <s v="P4"/>
    <x v="4"/>
    <n v="15"/>
    <s v="E15"/>
    <s v="Bret Lee"/>
    <s v="NY"/>
    <s v="USA"/>
    <s v="Manager 4"/>
    <s v="Accounting"/>
    <d v="2012-01-06T00:00:00"/>
    <n v="300"/>
    <n v="300"/>
    <n v="24"/>
    <s v="Domestic"/>
    <n v="103"/>
    <s v="Naresh"/>
    <s v="Mumbai"/>
    <s v="IN"/>
    <s v="30%"/>
    <s v="20%"/>
    <n v="0"/>
    <s v="Poor Sales"/>
    <b v="1"/>
    <n v="45"/>
    <s v="Powder"/>
    <n v="45"/>
    <s v="Credit"/>
    <s v="POOR SALES"/>
    <s v="True"/>
    <s v="Bret "/>
    <s v="Domes"/>
    <s v="Bret"/>
    <n v="390"/>
    <s v="Friday"/>
    <d v="2012-03-06T00:00:00"/>
    <s v="2months,0days"/>
    <d v="1899-12-30T07:00:00"/>
    <s v="||||||||||||||||||||||||||||||"/>
    <s v="Bret Lee"/>
    <m/>
  </r>
  <r>
    <s v="Direct"/>
    <x v="4"/>
    <x v="1"/>
    <n v="24"/>
    <s v="P4"/>
    <x v="4"/>
    <n v="15"/>
    <s v="E15"/>
    <s v="Bret Lee"/>
    <s v="NY"/>
    <s v="USA"/>
    <s v="Manager 4"/>
    <s v="Accounting"/>
    <d v="2014-01-06T00:00:00"/>
    <n v="300"/>
    <n v="300"/>
    <n v="24"/>
    <s v="Domestic"/>
    <n v="103"/>
    <s v="Naresh"/>
    <s v="Mumbai"/>
    <s v="IN"/>
    <s v="30%"/>
    <s v="20%"/>
    <n v="0"/>
    <s v="Poor Sales"/>
    <b v="1"/>
    <n v="44"/>
    <s v="Powder"/>
    <n v="44"/>
    <s v="Credit"/>
    <s v="POOR SALES"/>
    <s v="True"/>
    <s v="Bret "/>
    <s v="Domes"/>
    <s v="Bret"/>
    <n v="390"/>
    <s v="Monday"/>
    <d v="2014-03-06T00:00:00"/>
    <s v="2months,0days"/>
    <m/>
    <s v="||||||||||||||||||||||||||||||"/>
    <s v="Bret Lee"/>
    <m/>
  </r>
  <r>
    <s v="Post"/>
    <x v="2"/>
    <x v="0"/>
    <n v="38"/>
    <s v="P6"/>
    <x v="2"/>
    <n v="26"/>
    <s v="E26"/>
    <s v="Javed"/>
    <s v="IL"/>
    <s v="UK"/>
    <s v="Manager 6"/>
    <s v="Audit"/>
    <d v="2012-01-05T00:00:00"/>
    <n v="1400"/>
    <n v="1400"/>
    <n v="35"/>
    <s v="Domestic"/>
    <n v="103"/>
    <s v="Naresh"/>
    <s v="Mumbai"/>
    <s v="IN"/>
    <s v="30%"/>
    <s v="20%"/>
    <s v="20%"/>
    <s v="Great Sales"/>
    <b v="1"/>
    <n v="1"/>
    <s v="ATT"/>
    <n v="1"/>
    <s v="Credit"/>
    <s v="GREAT SALES"/>
    <s v="True"/>
    <s v="Javed"/>
    <s v="Domes"/>
    <s v="Javed"/>
    <n v="1820"/>
    <s v="Thursday"/>
    <d v="2012-03-06T00:00:00"/>
    <s v="2months,1days"/>
    <m/>
    <s v="||||||||||||||||||||||||||||||||||||||||||||||||||||||||||||||||||||||||||||||||||||||||||||||||||||||||||||||||||||||||||||||||||||||||||||"/>
    <s v="Javed"/>
    <m/>
  </r>
  <r>
    <s v="Post"/>
    <x v="2"/>
    <x v="0"/>
    <n v="38"/>
    <s v="P6"/>
    <x v="2"/>
    <n v="26"/>
    <s v="E26"/>
    <s v="Javed"/>
    <s v="IL"/>
    <s v="USA"/>
    <s v="Manager 6"/>
    <s v="Audit"/>
    <d v="2014-01-05T00:00:00"/>
    <n v="1400"/>
    <n v="1400"/>
    <n v="35"/>
    <s v="Domestic"/>
    <n v="103"/>
    <s v="Naresh"/>
    <s v="Mumbai"/>
    <s v="IN"/>
    <s v="30%"/>
    <s v="20%"/>
    <s v="20%"/>
    <s v="Great Sales"/>
    <b v="1"/>
    <n v="1"/>
    <s v="ATT"/>
    <n v="1"/>
    <s v="Credit"/>
    <s v="GREAT SALES"/>
    <s v="True"/>
    <s v="Javed"/>
    <s v="Domes"/>
    <s v="Javed"/>
    <n v="1820"/>
    <s v="Sunday"/>
    <d v="2014-03-06T00:00:00"/>
    <s v="2months,1days"/>
    <m/>
    <s v="||||||||||||||||||||||||||||||||||||||||||||||||||||||||||||||||||||||||||||||||||||||||||||||||||||||||||||||||||||||||||||||||||||||||||||"/>
    <s v="Javed"/>
    <m/>
  </r>
  <r>
    <s v="Online"/>
    <x v="3"/>
    <x v="2"/>
    <n v="10"/>
    <s v="P1"/>
    <x v="3"/>
    <n v="4"/>
    <s v="E4"/>
    <s v="Mohsin Khan"/>
    <s v="AP"/>
    <s v="India"/>
    <s v="Manager 1"/>
    <s v="Sales"/>
    <d v="2012-01-04T00:00:00"/>
    <n v="350"/>
    <n v="400"/>
    <n v="13"/>
    <s v="International"/>
    <n v="103"/>
    <s v="Naresh"/>
    <s v="Mumbai"/>
    <s v="IN"/>
    <s v="30%"/>
    <s v="20%"/>
    <s v="20%"/>
    <s v="Poor Sales"/>
    <b v="1"/>
    <n v="1"/>
    <s v="Laptop"/>
    <n v="1"/>
    <s v="Debit"/>
    <s v="POOR SALES"/>
    <s v="True"/>
    <s v="Mohsi"/>
    <s v="Inter"/>
    <s v="Mohsin"/>
    <n v="455"/>
    <s v="Wednesday"/>
    <d v="2012-03-06T00:00:00"/>
    <s v="2months,2days"/>
    <d v="2015-07-01T00:00:00"/>
    <s v="|||||||||||||||||||||||||||||||||||"/>
    <s v="Mohsin Khan"/>
    <m/>
  </r>
  <r>
    <s v="Online"/>
    <x v="3"/>
    <x v="2"/>
    <n v="10"/>
    <s v="P1"/>
    <x v="3"/>
    <n v="4"/>
    <s v="E4"/>
    <s v="Mohsin Khan"/>
    <s v="AP"/>
    <s v="India"/>
    <s v="Manager 1"/>
    <s v="Sales"/>
    <d v="2014-01-04T00:00:00"/>
    <n v="350"/>
    <n v="400"/>
    <n v="13"/>
    <s v="International"/>
    <n v="103"/>
    <s v="Naresh"/>
    <s v="Mumbai"/>
    <s v="IN"/>
    <s v="30%"/>
    <s v="20%"/>
    <s v="20%"/>
    <s v="Poor Sales"/>
    <b v="1"/>
    <n v="1"/>
    <s v="Laptop"/>
    <n v="1"/>
    <s v="Debit"/>
    <s v="POOR SALES"/>
    <s v="True"/>
    <s v="Mohsi"/>
    <s v="Inter"/>
    <s v="Mohsin"/>
    <n v="455"/>
    <s v="Saturday"/>
    <d v="2014-03-06T00:00:00"/>
    <s v="2months,2days"/>
    <m/>
    <s v="|||||||||||||||||||||||||||||||||||"/>
    <s v="Mohsin Khan"/>
    <m/>
  </r>
  <r>
    <s v="Online"/>
    <x v="5"/>
    <x v="2"/>
    <n v="14"/>
    <s v="P2"/>
    <x v="5"/>
    <n v="7"/>
    <s v="E7"/>
    <s v="Viru Sehwag"/>
    <s v="HR"/>
    <s v="India"/>
    <s v="Manager 2"/>
    <s v="Sales"/>
    <d v="2013-03-06T00:00:00"/>
    <n v="700"/>
    <n v="700"/>
    <n v="16"/>
    <s v="International"/>
    <n v="103"/>
    <s v="Naresh"/>
    <s v="Mumbai"/>
    <s v="IN"/>
    <s v="30%"/>
    <s v="20%"/>
    <s v="20%"/>
    <s v="Moderate Sales"/>
    <b v="1"/>
    <n v="1"/>
    <s v="Laptop"/>
    <n v="1"/>
    <s v="Debit"/>
    <s v="MODERATE SALES"/>
    <s v="True"/>
    <s v="Viru "/>
    <s v="Inter"/>
    <s v="Viru"/>
    <n v="910"/>
    <s v="Wednesday"/>
    <d v="2013-05-06T00:00:00"/>
    <s v="2months,0days"/>
    <m/>
    <s v="||||||||||||||||||||||||||||||||||||||||||||||||||||||||||||||||||||||"/>
    <s v="Viru Sehwag"/>
    <m/>
  </r>
  <r>
    <s v="Online"/>
    <x v="5"/>
    <x v="2"/>
    <n v="14"/>
    <s v="P2"/>
    <x v="5"/>
    <n v="7"/>
    <s v="E7"/>
    <s v="Viru Sehwag"/>
    <s v="HR"/>
    <s v="India"/>
    <s v="Manager 2"/>
    <s v="Sales"/>
    <d v="2015-03-06T00:00:00"/>
    <n v="700"/>
    <n v="700"/>
    <n v="16"/>
    <s v="International"/>
    <n v="103"/>
    <s v="Naresh"/>
    <s v="Mumbai"/>
    <s v="IN"/>
    <s v="30%"/>
    <s v="20%"/>
    <s v="20%"/>
    <s v="Moderate Sales"/>
    <b v="1"/>
    <n v="1"/>
    <s v="Laptop"/>
    <n v="1"/>
    <s v="Credit"/>
    <s v="MODERATE SALES"/>
    <s v="True"/>
    <s v="Viru "/>
    <s v="Inter"/>
    <s v="Viru"/>
    <n v="910"/>
    <s v="Friday"/>
    <d v="2015-05-06T00:00:00"/>
    <s v="2months,0days"/>
    <m/>
    <s v="||||||||||||||||||||||||||||||||||||||||||||||||||||||||||||||||||||||"/>
    <s v="Viru Sehwag"/>
    <m/>
  </r>
  <r>
    <s v="Online"/>
    <x v="5"/>
    <x v="2"/>
    <n v="14"/>
    <s v="P2"/>
    <x v="5"/>
    <n v="8"/>
    <s v="E8"/>
    <s v="Gautam"/>
    <s v="HR"/>
    <s v="India"/>
    <s v="Manager 2"/>
    <s v="Sales"/>
    <d v="2013-03-07T00:00:00"/>
    <n v="800"/>
    <n v="800"/>
    <n v="17"/>
    <s v="International"/>
    <n v="106"/>
    <s v="Pawan"/>
    <s v="Mumbai"/>
    <s v="IN"/>
    <s v="30%"/>
    <s v="20%"/>
    <s v="20%"/>
    <s v="Moderate Sales"/>
    <b v="1"/>
    <n v="1"/>
    <s v="Laptop"/>
    <n v="1"/>
    <s v="Credit"/>
    <s v="MODERATE SALES"/>
    <s v="True"/>
    <s v="Gauta"/>
    <s v="Inter"/>
    <s v="Gautam"/>
    <n v="1040"/>
    <s v="Thursday"/>
    <d v="2013-05-06T00:00:00"/>
    <s v="1months,29days"/>
    <m/>
    <s v="||||||||||||||||||||||||||||||||||||||||||||||||||||||||||||||||||||||||||||||||"/>
    <s v="Gautam"/>
    <m/>
  </r>
  <r>
    <s v="Online"/>
    <x v="5"/>
    <x v="2"/>
    <n v="14"/>
    <s v="P2"/>
    <x v="5"/>
    <n v="8"/>
    <s v="E8"/>
    <s v="Gautam"/>
    <s v="HR"/>
    <s v="India"/>
    <s v="Manager 2"/>
    <s v="Sales"/>
    <d v="2015-03-07T00:00:00"/>
    <n v="800"/>
    <n v="800"/>
    <n v="17"/>
    <s v="International"/>
    <n v="106"/>
    <s v="Pawan"/>
    <s v="Mumbai"/>
    <s v="IN"/>
    <s v="30%"/>
    <s v="20%"/>
    <s v="20%"/>
    <s v="Moderate Sales"/>
    <b v="1"/>
    <n v="1"/>
    <s v="Laptop"/>
    <n v="1"/>
    <s v="Credit"/>
    <s v="MODERATE SALES"/>
    <s v="True"/>
    <s v="Gauta"/>
    <s v="Inter"/>
    <s v="Gautam"/>
    <n v="1040"/>
    <s v="Saturday"/>
    <d v="2015-05-06T00:00:00"/>
    <s v="1months,29days"/>
    <m/>
    <s v="||||||||||||||||||||||||||||||||||||||||||||||||||||||||||||||||||||||||||||||||"/>
    <s v="Gautam"/>
    <m/>
  </r>
  <r>
    <s v="Post"/>
    <x v="0"/>
    <x v="0"/>
    <n v="30"/>
    <s v="P5"/>
    <x v="0"/>
    <n v="23"/>
    <s v="E23"/>
    <s v="Geoff"/>
    <s v="WA"/>
    <s v="USA"/>
    <s v="Manager 3"/>
    <s v="Finance"/>
    <d v="2013-03-03T00:00:00"/>
    <n v="550"/>
    <n v="1100"/>
    <n v="32"/>
    <s v="International"/>
    <n v="106"/>
    <s v="Pawan"/>
    <s v="Mumbai"/>
    <s v="IN"/>
    <s v="30%"/>
    <s v="20%"/>
    <s v="20%"/>
    <s v="Moderate Sales"/>
    <b v="1"/>
    <n v="1"/>
    <s v="ATT"/>
    <n v="1"/>
    <s v="Credit"/>
    <s v="MODERATE SALES"/>
    <s v="True"/>
    <s v="Geoff"/>
    <s v="Inter"/>
    <s v="Geoff"/>
    <n v="715"/>
    <s v="Sunday"/>
    <d v="2013-05-06T00:00:00"/>
    <s v="2months,3days"/>
    <m/>
    <s v="|||||||||||||||||||||||||||||||||||||||||||||||||||||||"/>
    <s v="Geoff"/>
    <m/>
  </r>
  <r>
    <s v="Post"/>
    <x v="0"/>
    <x v="0"/>
    <n v="30"/>
    <s v="P5"/>
    <x v="0"/>
    <n v="23"/>
    <s v="E23"/>
    <s v="Geoff"/>
    <s v="WA"/>
    <s v="USA"/>
    <s v="Manager 3"/>
    <s v="Finance"/>
    <d v="2015-03-03T00:00:00"/>
    <n v="550"/>
    <n v="1100"/>
    <n v="32"/>
    <s v="International"/>
    <n v="106"/>
    <s v="Pawan"/>
    <s v="Mumbai"/>
    <s v="IN"/>
    <s v="30%"/>
    <s v="20%"/>
    <s v="20%"/>
    <s v="Moderate Sales"/>
    <b v="1"/>
    <n v="1"/>
    <s v="ATT"/>
    <n v="1"/>
    <s v="Cash"/>
    <s v="MODERATE SALES"/>
    <s v="True"/>
    <s v="Geoff"/>
    <s v="Inter"/>
    <s v="Geoff"/>
    <n v="715"/>
    <s v="Tuesday"/>
    <d v="2015-05-06T00:00:00"/>
    <s v="2months,3days"/>
    <m/>
    <s v="|||||||||||||||||||||||||||||||||||||||||||||||||||||||"/>
    <s v="Geoff"/>
    <m/>
  </r>
  <r>
    <s v="Direct"/>
    <x v="4"/>
    <x v="1"/>
    <n v="24"/>
    <s v="P4"/>
    <x v="4"/>
    <n v="16"/>
    <s v="E16"/>
    <s v="Mark Waugh"/>
    <s v="VA"/>
    <s v="USA"/>
    <s v="Manager 5"/>
    <s v="Accounting"/>
    <d v="2013-03-06T00:00:00"/>
    <n v="700"/>
    <n v="400"/>
    <n v="25"/>
    <s v="International"/>
    <n v="106"/>
    <s v="Pawan"/>
    <s v="Mumbai"/>
    <s v="IN"/>
    <s v="30%"/>
    <s v="20%"/>
    <s v="20%"/>
    <s v="Moderate Sales"/>
    <b v="1"/>
    <n v="1"/>
    <s v="Powder"/>
    <n v="1"/>
    <s v="Debit"/>
    <s v="MODERATE SALES"/>
    <s v="True"/>
    <s v="Mark "/>
    <s v="Inter"/>
    <s v="Mark"/>
    <n v="910"/>
    <s v="Wednesday"/>
    <d v="2013-05-06T00:00:00"/>
    <s v="2months,0days"/>
    <m/>
    <s v="||||||||||||||||||||||||||||||||||||||||||||||||||||||||||||||||||||||"/>
    <s v="Mark Waugh"/>
    <m/>
  </r>
  <r>
    <s v="Direct"/>
    <x v="4"/>
    <x v="1"/>
    <n v="24"/>
    <s v="P4"/>
    <x v="4"/>
    <n v="16"/>
    <s v="E16"/>
    <s v="Mark Waugh"/>
    <s v="VA"/>
    <s v="USA"/>
    <s v="Manager 5"/>
    <s v="Accounting"/>
    <d v="2015-03-06T00:00:00"/>
    <n v="700"/>
    <n v="400"/>
    <n v="25"/>
    <s v="International"/>
    <n v="106"/>
    <s v="Pawan"/>
    <s v="Mumbai"/>
    <s v="IN"/>
    <s v="30%"/>
    <s v="20%"/>
    <s v="20%"/>
    <s v="Moderate Sales"/>
    <b v="1"/>
    <n v="1"/>
    <s v="Powder"/>
    <n v="1"/>
    <s v="Credit"/>
    <s v="MODERATE SALES"/>
    <s v="True"/>
    <s v="Mark "/>
    <s v="Inter"/>
    <s v="Mark"/>
    <n v="910"/>
    <s v="Friday"/>
    <d v="2015-05-06T00:00:00"/>
    <s v="2months,0days"/>
    <m/>
    <s v="||||||||||||||||||||||||||||||||||||||||||||||||||||||||||||||||||||||"/>
    <s v="Mark Waugh"/>
    <m/>
  </r>
  <r>
    <s v="Post"/>
    <x v="2"/>
    <x v="0"/>
    <n v="38"/>
    <s v="P6"/>
    <x v="2"/>
    <n v="28"/>
    <s v="E28"/>
    <s v="Mustaq Ahmed"/>
    <s v="WA"/>
    <s v="UK"/>
    <s v="Manager 8"/>
    <s v="Audit"/>
    <d v="2012-03-07T00:00:00"/>
    <n v="550"/>
    <n v="1500"/>
    <n v="37"/>
    <s v="International"/>
    <n v="106"/>
    <s v="Pawan"/>
    <s v="Mumbai"/>
    <s v="IN"/>
    <s v="30%"/>
    <s v="20%"/>
    <s v="20%"/>
    <s v="Moderate Sales"/>
    <b v="1"/>
    <n v="1"/>
    <s v="ATT"/>
    <n v="1"/>
    <s v="Credit"/>
    <s v="MODERATE SALES"/>
    <s v="True"/>
    <s v="Musta"/>
    <s v="Inter"/>
    <s v="Mustaq"/>
    <n v="715"/>
    <s v="Wednesday"/>
    <d v="2012-05-06T00:00:00"/>
    <s v="1months,29days"/>
    <m/>
    <s v="|||||||||||||||||||||||||||||||||||||||||||||||||||||||"/>
    <s v="Mustaq Ahmed"/>
    <m/>
  </r>
  <r>
    <s v="Post"/>
    <x v="2"/>
    <x v="0"/>
    <n v="38"/>
    <s v="P6"/>
    <x v="2"/>
    <n v="28"/>
    <s v="E28"/>
    <s v="Mustaq Ahmed"/>
    <s v="WA"/>
    <s v="USA"/>
    <s v="Manager 8"/>
    <s v="Audit"/>
    <d v="2014-03-07T00:00:00"/>
    <n v="550"/>
    <n v="1500"/>
    <n v="37"/>
    <s v="International"/>
    <n v="106"/>
    <s v="Pawan"/>
    <s v="Mumbai"/>
    <s v="IN"/>
    <s v="30%"/>
    <s v="20%"/>
    <s v="20%"/>
    <s v="Moderate Sales"/>
    <b v="1"/>
    <n v="1"/>
    <s v="ATT"/>
    <n v="1"/>
    <s v="Credit"/>
    <s v="MODERATE SALES"/>
    <s v="True"/>
    <s v="Musta"/>
    <s v="Inter"/>
    <s v="Mustaq"/>
    <n v="715"/>
    <s v="Friday"/>
    <d v="2014-05-06T00:00:00"/>
    <s v="1months,29days"/>
    <m/>
    <s v="|||||||||||||||||||||||||||||||||||||||||||||||||||||||"/>
    <s v="Mustaq Ahmed"/>
    <m/>
  </r>
  <r>
    <s v="Direct"/>
    <x v="4"/>
    <x v="1"/>
    <n v="24"/>
    <s v="P4"/>
    <x v="4"/>
    <n v="18"/>
    <s v="E18"/>
    <s v="Tim"/>
    <s v="NY"/>
    <s v="USA"/>
    <s v="Manager 5"/>
    <s v="Accounting"/>
    <d v="2012-01-09T00:00:00"/>
    <n v="550"/>
    <n v="600"/>
    <n v="27"/>
    <s v="Domestic"/>
    <n v="106"/>
    <s v="Pawan"/>
    <s v="Mumbai"/>
    <s v="IN"/>
    <s v="30%"/>
    <s v="20%"/>
    <s v="20%"/>
    <s v="Moderate Sales"/>
    <b v="1"/>
    <n v="1"/>
    <s v="Powder"/>
    <n v="1"/>
    <s v="Credit"/>
    <s v="MODERATE SALES"/>
    <s v="True"/>
    <s v="Tim"/>
    <s v="Domes"/>
    <s v="Tim"/>
    <n v="715"/>
    <s v="Monday"/>
    <d v="2012-03-06T00:00:00"/>
    <s v="1months,26days"/>
    <d v="1899-12-30T14:00:00"/>
    <s v="|||||||||||||||||||||||||||||||||||||||||||||||||||||||"/>
    <s v="Tim"/>
    <m/>
  </r>
  <r>
    <s v="Direct"/>
    <x v="4"/>
    <x v="1"/>
    <n v="24"/>
    <s v="P4"/>
    <x v="4"/>
    <n v="18"/>
    <s v="E18"/>
    <s v="Tim"/>
    <s v="NY"/>
    <s v="USA"/>
    <s v="Manager 5"/>
    <s v="Accounting"/>
    <d v="2014-01-09T00:00:00"/>
    <n v="550"/>
    <n v="600"/>
    <n v="27"/>
    <s v="Domestic"/>
    <n v="106"/>
    <s v="Pawan"/>
    <s v="Mumbai"/>
    <s v="IN"/>
    <s v="30%"/>
    <s v="20%"/>
    <s v="20%"/>
    <s v="Moderate Sales"/>
    <b v="1"/>
    <n v="1"/>
    <s v="Powder"/>
    <n v="1"/>
    <s v="Credit"/>
    <s v="MODERATE SALES"/>
    <s v="True"/>
    <s v="Tim"/>
    <s v="Domes"/>
    <s v="Tim"/>
    <n v="715"/>
    <s v="Thursday"/>
    <d v="2014-03-06T00:00:00"/>
    <s v="1months,25days"/>
    <m/>
    <s v="|||||||||||||||||||||||||||||||||||||||||||||||||||||||"/>
    <s v="Tim"/>
    <m/>
  </r>
  <r>
    <s v="Online"/>
    <x v="5"/>
    <x v="2"/>
    <n v="14"/>
    <s v="P2"/>
    <x v="5"/>
    <n v="7"/>
    <s v="E7"/>
    <s v="Viru Sehwag"/>
    <s v="HR"/>
    <s v="India"/>
    <s v="Manager 2"/>
    <s v="Sales"/>
    <d v="2012-01-07T00:00:00"/>
    <n v="680"/>
    <n v="700"/>
    <n v="16"/>
    <s v="International"/>
    <n v="106"/>
    <s v="Pawan"/>
    <s v="Mumbai"/>
    <s v="IN"/>
    <s v="30%"/>
    <s v="20%"/>
    <s v="20%"/>
    <s v="Moderate Sales"/>
    <b v="1"/>
    <n v="1"/>
    <s v="Laptop"/>
    <n v="1"/>
    <s v="Credit"/>
    <s v="MODERATE SALES"/>
    <s v="True"/>
    <s v="Viru "/>
    <s v="Inter"/>
    <s v="Viru"/>
    <n v="884"/>
    <s v="Saturday"/>
    <d v="2012-03-06T00:00:00"/>
    <s v="1months,28days"/>
    <d v="2015-10-01T00:00:00"/>
    <s v="||||||||||||||||||||||||||||||||||||||||||||||||||||||||||||||||||||"/>
    <s v="Viru Sehwag"/>
    <m/>
  </r>
  <r>
    <s v="Online"/>
    <x v="5"/>
    <x v="2"/>
    <n v="14"/>
    <s v="P2"/>
    <x v="5"/>
    <n v="7"/>
    <s v="E7"/>
    <s v="Viru Sehwag"/>
    <s v="HR"/>
    <s v="India"/>
    <s v="Manager 2"/>
    <s v="Sales"/>
    <d v="2014-01-07T00:00:00"/>
    <n v="680"/>
    <n v="700"/>
    <n v="16"/>
    <s v="International"/>
    <n v="106"/>
    <s v="Pawan"/>
    <s v="Mumbai"/>
    <s v="IN"/>
    <s v="30%"/>
    <s v="20%"/>
    <s v="20%"/>
    <s v="Moderate Sales"/>
    <b v="1"/>
    <n v="1"/>
    <s v="Laptop"/>
    <n v="1"/>
    <s v="Credit"/>
    <s v="MODERATE SALES"/>
    <s v="True"/>
    <s v="Viru "/>
    <s v="Inter"/>
    <s v="Viru"/>
    <n v="884"/>
    <s v="Tuesday"/>
    <d v="2014-03-06T00:00:00"/>
    <s v="1months,27days"/>
    <m/>
    <s v="||||||||||||||||||||||||||||||||||||||||||||||||||||||||||||||||||||"/>
    <s v="Viru Sehwag"/>
    <m/>
  </r>
  <r>
    <s v="Post"/>
    <x v="0"/>
    <x v="0"/>
    <n v="30"/>
    <s v="P5"/>
    <x v="0"/>
    <n v="20"/>
    <s v="E20"/>
    <s v="Angela"/>
    <s v="IL"/>
    <s v="UK"/>
    <s v="Manager 3"/>
    <s v="Finance"/>
    <d v="2012-01-02T00:00:00"/>
    <n v="700"/>
    <n v="800"/>
    <n v="29"/>
    <s v="Domestic"/>
    <n v="108"/>
    <s v="Prasad"/>
    <s v="Bristol"/>
    <s v="UK"/>
    <s v="30%"/>
    <s v="20%"/>
    <s v="20%"/>
    <s v="Moderate Sales"/>
    <b v="1"/>
    <n v="1"/>
    <s v="ATT"/>
    <n v="1"/>
    <s v="Cash"/>
    <s v="MODERATE SALES"/>
    <s v="True"/>
    <s v="Angel"/>
    <s v="Domes"/>
    <s v="Angela"/>
    <n v="910"/>
    <s v="Monday"/>
    <d v="2012-03-06T00:00:00"/>
    <s v="2months,4days"/>
    <n v="20.8"/>
    <s v="||||||||||||||||||||||||||||||||||||||||||||||||||||||||||||||||||||||"/>
    <s v="Angela"/>
    <m/>
  </r>
  <r>
    <s v="Post"/>
    <x v="0"/>
    <x v="0"/>
    <n v="30"/>
    <s v="P5"/>
    <x v="0"/>
    <n v="20"/>
    <s v="E20"/>
    <s v="Angela"/>
    <s v="IL"/>
    <s v="USA"/>
    <s v="Manager 3"/>
    <s v="Finance"/>
    <d v="2014-01-02T00:00:00"/>
    <n v="700"/>
    <n v="800"/>
    <n v="29"/>
    <s v="Domestic"/>
    <n v="108"/>
    <s v="Prasad"/>
    <s v="Bristol"/>
    <s v="UK"/>
    <s v="30%"/>
    <s v="20%"/>
    <s v="20%"/>
    <s v="Moderate Sales"/>
    <b v="1"/>
    <n v="1"/>
    <s v="ATT"/>
    <n v="1"/>
    <s v="Credit"/>
    <s v="MODERATE SALES"/>
    <s v="True"/>
    <s v="Angel"/>
    <s v="Domes"/>
    <s v="Angela"/>
    <n v="910"/>
    <s v="Thursday"/>
    <d v="2014-03-06T00:00:00"/>
    <s v="2months,4days"/>
    <m/>
    <s v="||||||||||||||||||||||||||||||||||||||||||||||||||||||||||||||||||||||"/>
    <s v="Angela"/>
    <m/>
  </r>
  <r>
    <s v="Post"/>
    <x v="2"/>
    <x v="0"/>
    <n v="38"/>
    <s v="P6"/>
    <x v="2"/>
    <n v="25"/>
    <s v="E25"/>
    <s v="Jeffery"/>
    <s v="TX"/>
    <s v="USA"/>
    <s v="Manager 3"/>
    <s v="Finance"/>
    <d v="2013-03-03T00:00:00"/>
    <n v="700"/>
    <n v="1300"/>
    <n v="34"/>
    <s v="International"/>
    <n v="108"/>
    <s v="Prasad"/>
    <s v="Bristol"/>
    <s v="UK"/>
    <s v="30%"/>
    <s v="20%"/>
    <s v="20%"/>
    <s v="Moderate Sales"/>
    <b v="1"/>
    <n v="1"/>
    <s v="ATT"/>
    <n v="1"/>
    <s v="Credit"/>
    <s v="MODERATE SALES"/>
    <s v="True"/>
    <s v="Jeffe"/>
    <s v="Inter"/>
    <s v="Jeffery"/>
    <n v="910"/>
    <s v="Sunday"/>
    <d v="2013-05-06T00:00:00"/>
    <s v="2months,3days"/>
    <m/>
    <s v="||||||||||||||||||||||||||||||||||||||||||||||||||||||||||||||||||||||"/>
    <s v="Jeffery"/>
    <m/>
  </r>
  <r>
    <s v="Post"/>
    <x v="2"/>
    <x v="0"/>
    <n v="38"/>
    <s v="P6"/>
    <x v="2"/>
    <n v="25"/>
    <s v="E25"/>
    <s v="Jeffery"/>
    <s v="TX"/>
    <s v="USA"/>
    <s v="Manager 3"/>
    <s v="Finance"/>
    <d v="2015-03-03T00:00:00"/>
    <n v="700"/>
    <n v="1300"/>
    <n v="34"/>
    <s v="International"/>
    <n v="108"/>
    <s v="Prasad"/>
    <s v="Bristol"/>
    <s v="UK"/>
    <s v="30%"/>
    <s v="20%"/>
    <s v="20%"/>
    <s v="Moderate Sales"/>
    <b v="1"/>
    <n v="1"/>
    <s v="ATT"/>
    <n v="1"/>
    <s v="Credit"/>
    <s v="MODERATE SALES"/>
    <s v="True"/>
    <s v="Jeffe"/>
    <s v="Inter"/>
    <s v="Jeffery"/>
    <n v="910"/>
    <s v="Tuesday"/>
    <d v="2015-05-06T00:00:00"/>
    <s v="2months,3days"/>
    <m/>
    <s v="||||||||||||||||||||||||||||||||||||||||||||||||||||||||||||||||||||||"/>
    <s v="Jeffery"/>
    <m/>
  </r>
  <r>
    <s v="Direct"/>
    <x v="1"/>
    <x v="1"/>
    <n v="20"/>
    <s v="P3"/>
    <x v="1"/>
    <n v="10"/>
    <s v="E10"/>
    <s v="Michael"/>
    <s v="VA"/>
    <s v="USA"/>
    <s v="Manager 5"/>
    <s v="Accounting"/>
    <d v="2013-03-09T00:00:00"/>
    <n v="1000"/>
    <n v="1000"/>
    <n v="19"/>
    <s v="International"/>
    <n v="108"/>
    <s v="Prasad"/>
    <s v="Bristol"/>
    <s v="UK"/>
    <s v="30%"/>
    <s v="20%"/>
    <s v="20%"/>
    <s v="Great Sales"/>
    <b v="1"/>
    <n v="1"/>
    <s v="Powder"/>
    <n v="1"/>
    <s v="Credit"/>
    <s v="GREAT SALES"/>
    <s v="True"/>
    <s v="Micha"/>
    <s v="Inter"/>
    <s v="Michael"/>
    <n v="1300"/>
    <s v="Saturday"/>
    <d v="2013-05-06T00:00:00"/>
    <s v="1months,27days"/>
    <m/>
    <s v="||||||||||||||||||||||||||||||||||||||||||||||||||||||||||||||||||||||||||||||||||||||||||||||||||||"/>
    <s v="Michael"/>
    <m/>
  </r>
  <r>
    <s v="Direct"/>
    <x v="1"/>
    <x v="1"/>
    <n v="20"/>
    <s v="P3"/>
    <x v="1"/>
    <n v="10"/>
    <s v="E10"/>
    <s v="Michael"/>
    <s v="VA"/>
    <s v="USA"/>
    <s v="Manager 5"/>
    <s v="Accounting"/>
    <d v="2015-03-09T00:00:00"/>
    <n v="1000"/>
    <n v="1000"/>
    <n v="19"/>
    <s v="International"/>
    <n v="108"/>
    <s v="Prasad"/>
    <s v="Bristol"/>
    <s v="UK"/>
    <s v="30%"/>
    <s v="20%"/>
    <s v="20%"/>
    <s v="Great Sales"/>
    <b v="1"/>
    <n v="1"/>
    <s v="Powder"/>
    <n v="1"/>
    <s v="Credit"/>
    <s v="GREAT SALES"/>
    <s v="True"/>
    <s v="Micha"/>
    <s v="Inter"/>
    <s v="Michael"/>
    <n v="1300"/>
    <s v="Monday"/>
    <d v="2015-05-06T00:00:00"/>
    <s v="1months,27days"/>
    <m/>
    <s v="||||||||||||||||||||||||||||||||||||||||||||||||||||||||||||||||||||||||||||||||||||||||||||||||||||"/>
    <s v="Michael"/>
    <m/>
  </r>
  <r>
    <s v="Online"/>
    <x v="3"/>
    <x v="2"/>
    <n v="10"/>
    <s v="P1"/>
    <x v="3"/>
    <n v="1"/>
    <s v="E1"/>
    <s v="Sachin Tendulkar"/>
    <s v="AP"/>
    <s v="India"/>
    <s v="Manager 1"/>
    <s v="Sales"/>
    <d v="2012-03-09T00:00:00"/>
    <n v="700"/>
    <n v="100"/>
    <n v="10"/>
    <s v="Domestic"/>
    <n v="108"/>
    <s v="Prasad"/>
    <s v="Bristol"/>
    <s v="UK"/>
    <s v="30%"/>
    <s v="20%"/>
    <n v="0"/>
    <s v="Moderate Sales"/>
    <b v="1"/>
    <n v="19"/>
    <s v="Laptop"/>
    <n v="19"/>
    <s v="Debit"/>
    <s v="MODERATE SALES"/>
    <s v="True"/>
    <s v="Sachi"/>
    <s v="Domes"/>
    <s v="Sachin"/>
    <n v="910"/>
    <s v="Friday"/>
    <d v="2012-05-06T00:00:00"/>
    <s v="1months,27days"/>
    <m/>
    <s v="||||||||||||||||||||||||||||||||||||||||||||||||||||||||||||||||||||||"/>
    <s v="Sachin Tendulkar"/>
    <m/>
  </r>
  <r>
    <s v="Online"/>
    <x v="3"/>
    <x v="2"/>
    <n v="10"/>
    <s v="P1"/>
    <x v="3"/>
    <n v="1"/>
    <s v="E1"/>
    <s v="Sachin Tendulkar"/>
    <s v="AP"/>
    <s v="India"/>
    <s v="Manager 1"/>
    <s v="Sales"/>
    <d v="2014-03-09T00:00:00"/>
    <n v="700"/>
    <n v="100"/>
    <n v="10"/>
    <s v="Domestic"/>
    <n v="108"/>
    <s v="Prasad"/>
    <s v="Bristol"/>
    <s v="UK"/>
    <s v="30%"/>
    <s v="20%"/>
    <n v="0"/>
    <s v="Moderate Sales"/>
    <b v="1"/>
    <n v="18"/>
    <s v="Laptop"/>
    <n v="18"/>
    <s v="Debit"/>
    <s v="MODERATE SALES"/>
    <s v="True"/>
    <s v="Sachi"/>
    <s v="Domes"/>
    <s v="Sachin"/>
    <n v="910"/>
    <s v="Sunday"/>
    <d v="2014-05-06T00:00:00"/>
    <s v="1months,27days"/>
    <m/>
    <s v="||||||||||||||||||||||||||||||||||||||||||||||||||||||||||||||||||||||"/>
    <s v="Sachin Tendulkar"/>
    <m/>
  </r>
  <r>
    <s v="Direct"/>
    <x v="4"/>
    <x v="1"/>
    <n v="24"/>
    <s v="P4"/>
    <x v="4"/>
    <n v="18"/>
    <s v="E18"/>
    <s v="Tim"/>
    <s v="NY"/>
    <s v="USA"/>
    <s v="Manager 5"/>
    <s v="Accounting"/>
    <d v="2013-03-08T00:00:00"/>
    <n v="876"/>
    <n v="600"/>
    <n v="27"/>
    <s v="Domestic"/>
    <n v="108"/>
    <s v="Prasad"/>
    <s v="Bristol"/>
    <s v="UK"/>
    <s v="30%"/>
    <s v="20%"/>
    <s v="20%"/>
    <s v="Great Sales"/>
    <b v="1"/>
    <n v="1"/>
    <s v="Powder"/>
    <n v="1"/>
    <s v="Cash"/>
    <s v="GREAT SALES"/>
    <s v="True"/>
    <s v="Tim"/>
    <s v="Domes"/>
    <s v="Tim"/>
    <n v="1138.8"/>
    <s v="Friday"/>
    <d v="2013-05-06T00:00:00"/>
    <s v="1months,28days"/>
    <m/>
    <s v="|||||||||||||||||||||||||||||||||||||||||||||||||||||||||||||||||||||||||||||||||||||||"/>
    <s v="Tim"/>
    <m/>
  </r>
  <r>
    <s v="Direct"/>
    <x v="4"/>
    <x v="1"/>
    <n v="24"/>
    <s v="P4"/>
    <x v="4"/>
    <n v="18"/>
    <s v="E18"/>
    <s v="Tim"/>
    <s v="NY"/>
    <s v="USA"/>
    <s v="Manager 5"/>
    <s v="Accounting"/>
    <d v="2015-03-08T00:00:00"/>
    <n v="876"/>
    <n v="600"/>
    <n v="27"/>
    <s v="Domestic"/>
    <n v="108"/>
    <s v="Prasad"/>
    <s v="Bristol"/>
    <s v="UK"/>
    <s v="30%"/>
    <s v="20%"/>
    <s v="20%"/>
    <s v="Great Sales"/>
    <b v="1"/>
    <n v="1"/>
    <s v="Powder"/>
    <n v="1"/>
    <s v="Debit"/>
    <s v="GREAT SALES"/>
    <s v="True"/>
    <s v="Tim"/>
    <s v="Domes"/>
    <s v="Tim"/>
    <n v="1138.8"/>
    <s v="Sunday"/>
    <d v="2015-05-06T00:00:00"/>
    <s v="1months,28days"/>
    <m/>
    <s v="|||||||||||||||||||||||||||||||||||||||||||||||||||||||||||||||||||||||||||||||||||||||"/>
    <s v="Tim"/>
    <m/>
  </r>
  <r>
    <s v="Online"/>
    <x v="5"/>
    <x v="2"/>
    <n v="14"/>
    <s v="P2"/>
    <x v="5"/>
    <n v="9"/>
    <s v="E9"/>
    <s v="Zaheer Khan"/>
    <s v="HR"/>
    <s v="India"/>
    <s v="Manager 4"/>
    <s v="Accounting"/>
    <d v="2012-01-09T00:00:00"/>
    <n v="798"/>
    <n v="900"/>
    <n v="18"/>
    <s v="International"/>
    <n v="108"/>
    <s v="Prasad"/>
    <s v="Bristol"/>
    <s v="UK"/>
    <s v="30%"/>
    <s v="20%"/>
    <s v="20%"/>
    <s v="Moderate Sales"/>
    <b v="1"/>
    <n v="1"/>
    <s v="Laptop"/>
    <n v="1"/>
    <s v="Credit"/>
    <s v="MODERATE SALES"/>
    <s v="True"/>
    <s v="Zahee"/>
    <s v="Inter"/>
    <s v="Zaheer"/>
    <n v="1037.4000000000001"/>
    <s v="Monday"/>
    <d v="2012-03-06T00:00:00"/>
    <s v="1months,26days"/>
    <d v="2002-05-01T00:00:00"/>
    <s v="|||||||||||||||||||||||||||||||||||||||||||||||||||||||||||||||||||||||||||||||"/>
    <s v="Zaheer Khan"/>
    <m/>
  </r>
  <r>
    <s v="Online"/>
    <x v="5"/>
    <x v="2"/>
    <n v="14"/>
    <s v="P2"/>
    <x v="5"/>
    <n v="9"/>
    <s v="E9"/>
    <s v="Zaheer Khan"/>
    <s v="HR"/>
    <s v="India"/>
    <s v="Manager 4"/>
    <s v="Accounting"/>
    <d v="2014-01-09T00:00:00"/>
    <n v="798"/>
    <n v="900"/>
    <n v="18"/>
    <s v="International"/>
    <n v="108"/>
    <s v="Prasad"/>
    <s v="Bristol"/>
    <s v="UK"/>
    <s v="30%"/>
    <s v="20%"/>
    <s v="20%"/>
    <s v="Moderate Sales"/>
    <b v="1"/>
    <n v="1"/>
    <s v="Laptop"/>
    <n v="1"/>
    <s v="Credit"/>
    <s v="MODERATE SALES"/>
    <s v="True"/>
    <s v="Zahee"/>
    <s v="Inter"/>
    <s v="Zaheer"/>
    <n v="1037.4000000000001"/>
    <s v="Thursday"/>
    <d v="2014-03-06T00:00:00"/>
    <s v="1months,25days"/>
    <m/>
    <s v="|||||||||||||||||||||||||||||||||||||||||||||||||||||||||||||||||||||||||||||||"/>
    <s v="Zaheer Khan"/>
    <m/>
  </r>
  <r>
    <s v="Direct"/>
    <x v="4"/>
    <x v="1"/>
    <n v="24"/>
    <s v="P4"/>
    <x v="4"/>
    <n v="17"/>
    <s v="E17"/>
    <s v="Andy Marsh"/>
    <s v="MD"/>
    <s v="USA"/>
    <s v="Manager 4"/>
    <s v="Accounting"/>
    <d v="2012-01-08T00:00:00"/>
    <n v="500"/>
    <n v="500"/>
    <n v="26"/>
    <s v="International"/>
    <n v="105"/>
    <s v="Rajesh"/>
    <s v="London"/>
    <s v="UK"/>
    <s v="30%"/>
    <s v="20%"/>
    <s v="20%"/>
    <s v="Moderate Sales"/>
    <b v="1"/>
    <n v="1"/>
    <s v="Powder"/>
    <n v="1"/>
    <s v="Credit"/>
    <s v="MODERATE SALES"/>
    <s v="True"/>
    <s v="Andy "/>
    <s v="Inter"/>
    <s v="Andy"/>
    <n v="650"/>
    <s v="Sunday"/>
    <d v="2012-03-06T00:00:00"/>
    <s v="1months,27days"/>
    <d v="1899-12-30T06:00:00"/>
    <s v="||||||||||||||||||||||||||||||||||||||||||||||||||"/>
    <s v="Andy Marsh"/>
    <m/>
  </r>
  <r>
    <s v="Direct"/>
    <x v="4"/>
    <x v="1"/>
    <n v="24"/>
    <s v="P4"/>
    <x v="4"/>
    <n v="17"/>
    <s v="E17"/>
    <s v="Andy Marsh"/>
    <s v="MD"/>
    <s v="USA"/>
    <s v="Manager 4"/>
    <s v="Accounting"/>
    <d v="2014-01-08T00:00:00"/>
    <n v="500"/>
    <n v="500"/>
    <n v="26"/>
    <s v="International"/>
    <n v="105"/>
    <s v="Rajesh"/>
    <s v="London"/>
    <s v="UK"/>
    <s v="30%"/>
    <s v="20%"/>
    <s v="20%"/>
    <s v="Moderate Sales"/>
    <b v="1"/>
    <n v="1"/>
    <s v="Powder"/>
    <n v="1"/>
    <s v="Cash"/>
    <s v="MODERATE SALES"/>
    <s v="True"/>
    <s v="Andy "/>
    <s v="Inter"/>
    <s v="Andy"/>
    <n v="650"/>
    <s v="Wednesday"/>
    <d v="2014-03-06T00:00:00"/>
    <s v="1months,26days"/>
    <m/>
    <s v="||||||||||||||||||||||||||||||||||||||||||||||||||"/>
    <s v="Andy Marsh"/>
    <m/>
  </r>
  <r>
    <s v="Online"/>
    <x v="5"/>
    <x v="2"/>
    <n v="14"/>
    <s v="P2"/>
    <x v="5"/>
    <n v="6"/>
    <s v="E6"/>
    <s v="Yuvraj Singh"/>
    <s v="HR"/>
    <s v="India"/>
    <s v="Manager 2"/>
    <s v="Sales"/>
    <d v="2012-01-06T00:00:00"/>
    <n v="550"/>
    <n v="600"/>
    <n v="15"/>
    <s v="Domestic"/>
    <n v="105"/>
    <s v="Rajesh"/>
    <s v="London"/>
    <s v="UK"/>
    <s v="30%"/>
    <s v="20%"/>
    <s v="20%"/>
    <s v="Moderate Sales"/>
    <b v="1"/>
    <n v="1"/>
    <s v="Laptop"/>
    <n v="1"/>
    <s v="Debit"/>
    <s v="MODERATE SALES"/>
    <s v="True"/>
    <s v="Yuvra"/>
    <s v="Domes"/>
    <s v="Yuvraj"/>
    <n v="715"/>
    <s v="Friday"/>
    <d v="2012-03-06T00:00:00"/>
    <s v="2months,0days"/>
    <d v="2015-09-01T00:00:00"/>
    <s v="|||||||||||||||||||||||||||||||||||||||||||||||||||||||"/>
    <s v="Yuvraj Singh"/>
    <m/>
  </r>
  <r>
    <s v="Online"/>
    <x v="5"/>
    <x v="2"/>
    <n v="14"/>
    <s v="P2"/>
    <x v="5"/>
    <n v="6"/>
    <s v="E6"/>
    <s v="Yuvraj Singh"/>
    <s v="HR"/>
    <s v="India"/>
    <s v="Manager 2"/>
    <s v="Sales"/>
    <d v="2014-01-06T00:00:00"/>
    <n v="550"/>
    <n v="600"/>
    <n v="15"/>
    <s v="Domestic"/>
    <n v="105"/>
    <s v="Rajesh"/>
    <s v="London"/>
    <s v="UK"/>
    <s v="30%"/>
    <s v="20%"/>
    <s v="20%"/>
    <s v="Moderate Sales"/>
    <b v="1"/>
    <n v="1"/>
    <s v="Laptop"/>
    <n v="1"/>
    <s v="Debit"/>
    <s v="MODERATE SALES"/>
    <s v="True"/>
    <s v="Yuvra"/>
    <s v="Domes"/>
    <s v="Yuvraj"/>
    <n v="715"/>
    <s v="Monday"/>
    <d v="2014-03-06T00:00:00"/>
    <s v="2months,0days"/>
    <m/>
    <s v="|||||||||||||||||||||||||||||||||||||||||||||||||||||||"/>
    <s v="Yuvraj Singh"/>
    <m/>
  </r>
  <r>
    <s v="Post"/>
    <x v="0"/>
    <x v="0"/>
    <n v="30"/>
    <s v="P5"/>
    <x v="0"/>
    <n v="23"/>
    <s v="E23"/>
    <s v="Geoff"/>
    <s v="WA"/>
    <s v="UK"/>
    <s v="Manager 3"/>
    <s v="Finance"/>
    <d v="2012-01-02T00:00:00"/>
    <n v="1020"/>
    <n v="1100"/>
    <n v="32"/>
    <s v="Domestic"/>
    <n v="100"/>
    <s v="Ram"/>
    <s v="Mumbai"/>
    <s v="IN"/>
    <s v="30%"/>
    <s v="20%"/>
    <s v="20%"/>
    <s v="Great Sales"/>
    <b v="1"/>
    <n v="1"/>
    <s v="ATT"/>
    <n v="1"/>
    <s v="Credit"/>
    <s v="GREAT SALES"/>
    <s v="True"/>
    <s v="Geoff"/>
    <s v="Domes"/>
    <s v="Geoff"/>
    <n v="1326"/>
    <s v="Monday"/>
    <d v="2012-03-06T00:00:00"/>
    <s v="2months,4days"/>
    <n v="40.450000000000003"/>
    <s v="||||||||||||||||||||||||||||||||||||||||||||||||||||||||||||||||||||||||||||||||||||||||||||||||||||||"/>
    <s v="Geoff"/>
    <m/>
  </r>
  <r>
    <s v="Post"/>
    <x v="0"/>
    <x v="0"/>
    <n v="30"/>
    <s v="P5"/>
    <x v="0"/>
    <n v="23"/>
    <s v="E23"/>
    <s v="Geoff"/>
    <s v="WA"/>
    <s v="USA"/>
    <s v="Manager 3"/>
    <s v="Finance"/>
    <d v="2014-01-02T00:00:00"/>
    <n v="1020"/>
    <n v="1100"/>
    <n v="32"/>
    <s v="Domestic"/>
    <n v="100"/>
    <s v="Ram"/>
    <s v="Mumbai"/>
    <s v="IN"/>
    <s v="30%"/>
    <s v="20%"/>
    <s v="20%"/>
    <s v="Great Sales"/>
    <b v="1"/>
    <n v="1"/>
    <s v="ATT"/>
    <n v="1"/>
    <s v="Credit"/>
    <s v="GREAT SALES"/>
    <s v="True"/>
    <s v="Geoff"/>
    <s v="Domes"/>
    <s v="Geoff"/>
    <n v="1326"/>
    <s v="Thursday"/>
    <d v="2014-03-06T00:00:00"/>
    <s v="2months,4days"/>
    <m/>
    <s v="||||||||||||||||||||||||||||||||||||||||||||||||||||||||||||||||||||||||||||||||||||||||||||||||||||||"/>
    <s v="Geoff"/>
    <m/>
  </r>
  <r>
    <s v="Direct"/>
    <x v="1"/>
    <x v="1"/>
    <n v="20"/>
    <s v="P3"/>
    <x v="1"/>
    <n v="12"/>
    <s v="E12"/>
    <s v="Michel"/>
    <s v="NY"/>
    <s v="USA"/>
    <s v="Manager 5"/>
    <s v="Accounting"/>
    <m/>
    <n v="988"/>
    <n v="1200"/>
    <n v="21"/>
    <s v="Domestic"/>
    <n v="100"/>
    <s v="Ram"/>
    <s v="Mumbai"/>
    <s v="IN"/>
    <s v="30%"/>
    <s v="20%"/>
    <s v="20%"/>
    <s v="Great Sales"/>
    <b v="1"/>
    <n v="1"/>
    <s v="Powder"/>
    <n v="1"/>
    <s v="Debit"/>
    <s v="GREAT SALES"/>
    <s v="True"/>
    <s v="Miche"/>
    <s v="Domes"/>
    <s v="Michel"/>
    <n v="1284.4000000000001"/>
    <s v="Saturday"/>
    <d v="1900-03-05T00:00:00"/>
    <s v="2months,5days"/>
    <n v="0.08"/>
    <s v="||||||||||||||||||||||||||||||||||||||||||||||||||||||||||||||||||||||||||||||||||||||||||||||||||"/>
    <s v="Michel"/>
    <m/>
  </r>
  <r>
    <s v="Direct"/>
    <x v="1"/>
    <x v="1"/>
    <n v="20"/>
    <s v="P3"/>
    <x v="1"/>
    <n v="12"/>
    <s v="E12"/>
    <s v="Michel"/>
    <s v="NY"/>
    <s v="USA"/>
    <s v="Manager 5"/>
    <s v="Accounting"/>
    <d v="2014-01-03T00:00:00"/>
    <n v="988"/>
    <n v="1200"/>
    <n v="21"/>
    <s v="Domestic"/>
    <n v="100"/>
    <s v="Ram"/>
    <s v="Mumbai"/>
    <s v="IN"/>
    <s v="30%"/>
    <s v="20%"/>
    <s v="20%"/>
    <s v="Great Sales"/>
    <b v="1"/>
    <n v="1"/>
    <s v="Powder"/>
    <n v="1"/>
    <s v="Debit"/>
    <s v="GREAT SALES"/>
    <s v="True"/>
    <s v="Miche"/>
    <s v="Domes"/>
    <s v="Michel"/>
    <n v="1284.4000000000001"/>
    <s v="Friday"/>
    <d v="2014-03-06T00:00:00"/>
    <s v="2months,3days"/>
    <m/>
    <s v="||||||||||||||||||||||||||||||||||||||||||||||||||||||||||||||||||||||||||||||||||||||||||||||||||"/>
    <s v="Michel"/>
    <m/>
  </r>
  <r>
    <s v="Online"/>
    <x v="3"/>
    <x v="2"/>
    <n v="10"/>
    <s v="P1"/>
    <x v="3"/>
    <n v="4"/>
    <s v="E4"/>
    <s v="Mohsin Khan"/>
    <s v="AP"/>
    <s v="India"/>
    <s v="Manager 1"/>
    <s v="Sales"/>
    <d v="2013-03-03T00:00:00"/>
    <n v="1020"/>
    <n v="400"/>
    <n v="13"/>
    <s v="International"/>
    <n v="100"/>
    <s v="Ram"/>
    <s v="Mumbai"/>
    <s v="IN"/>
    <s v="30%"/>
    <s v="20%"/>
    <s v="20%"/>
    <s v="Great Sales"/>
    <b v="1"/>
    <n v="1"/>
    <s v="Laptop"/>
    <n v="1"/>
    <s v="Debit"/>
    <s v="GREAT SALES"/>
    <s v="True"/>
    <s v="Mohsi"/>
    <s v="Inter"/>
    <s v="Mohsin"/>
    <n v="1326"/>
    <s v="Sunday"/>
    <d v="2013-05-06T00:00:00"/>
    <s v="2months,3days"/>
    <m/>
    <s v="||||||||||||||||||||||||||||||||||||||||||||||||||||||||||||||||||||||||||||||||||||||||||||||||||||||"/>
    <s v="Mohsin Khan"/>
    <m/>
  </r>
  <r>
    <s v="Online"/>
    <x v="3"/>
    <x v="2"/>
    <n v="10"/>
    <s v="P1"/>
    <x v="3"/>
    <n v="4"/>
    <s v="E4"/>
    <s v="Mohsin Khan"/>
    <s v="AP"/>
    <s v="India"/>
    <s v="Manager 1"/>
    <s v="Sales"/>
    <d v="2015-03-03T00:00:00"/>
    <n v="1020"/>
    <n v="400"/>
    <n v="13"/>
    <s v="International"/>
    <n v="100"/>
    <s v="Ram"/>
    <s v="Mumbai"/>
    <s v="IN"/>
    <s v="30%"/>
    <s v="20%"/>
    <s v="20%"/>
    <s v="Great Sales"/>
    <b v="1"/>
    <n v="1"/>
    <s v="Laptop"/>
    <n v="1"/>
    <s v="Debit"/>
    <s v="GREAT SALES"/>
    <s v="True"/>
    <s v="Mohsi"/>
    <s v="Inter"/>
    <s v="Mohsin"/>
    <n v="1326"/>
    <s v="Tuesday"/>
    <d v="2015-05-06T00:00:00"/>
    <s v="2months,3days"/>
    <m/>
    <s v="||||||||||||||||||||||||||||||||||||||||||||||||||||||||||||||||||||||||||||||||||||||||||||||||||||||"/>
    <s v="Mohsin Khan"/>
    <m/>
  </r>
  <r>
    <s v="Post"/>
    <x v="2"/>
    <x v="0"/>
    <n v="38"/>
    <s v="P6"/>
    <x v="2"/>
    <n v="28"/>
    <s v="E28"/>
    <s v="Mustaq Ahmed"/>
    <s v="WA"/>
    <s v="USA"/>
    <s v="Manager 8"/>
    <s v="Audit"/>
    <d v="2013-03-06T00:00:00"/>
    <n v="1020"/>
    <n v="1500"/>
    <n v="37"/>
    <s v="Domestic"/>
    <n v="100"/>
    <s v="Ram"/>
    <s v="Mumbai"/>
    <s v="IN"/>
    <s v="30%"/>
    <s v="20%"/>
    <s v="20%"/>
    <s v="Great Sales"/>
    <b v="1"/>
    <n v="1"/>
    <s v="ATT"/>
    <n v="1"/>
    <s v="Credit"/>
    <s v="GREAT SALES"/>
    <s v="True"/>
    <s v="Musta"/>
    <s v="Domes"/>
    <s v="Mustaq"/>
    <n v="1326"/>
    <s v="Wednesday"/>
    <d v="2013-05-06T00:00:00"/>
    <s v="2months,0days"/>
    <m/>
    <s v="||||||||||||||||||||||||||||||||||||||||||||||||||||||||||||||||||||||||||||||||||||||||||||||||||||||"/>
    <s v="Mustaq Ahmed"/>
    <m/>
  </r>
  <r>
    <s v="Post"/>
    <x v="2"/>
    <x v="0"/>
    <n v="38"/>
    <s v="P6"/>
    <x v="2"/>
    <n v="28"/>
    <s v="E28"/>
    <s v="Mustaq Ahmed"/>
    <s v="WA"/>
    <s v="USA"/>
    <s v="Manager 8"/>
    <s v="Audit"/>
    <d v="2015-03-06T00:00:00"/>
    <n v="1020"/>
    <n v="1500"/>
    <n v="37"/>
    <s v="Domestic"/>
    <n v="100"/>
    <s v="Ram"/>
    <s v="Mumbai"/>
    <s v="IN"/>
    <s v="30%"/>
    <s v="20%"/>
    <s v="20%"/>
    <s v="Great Sales"/>
    <b v="1"/>
    <n v="1"/>
    <s v="ATT"/>
    <n v="1"/>
    <s v="Credit"/>
    <s v="GREAT SALES"/>
    <s v="True"/>
    <s v="Musta"/>
    <s v="Domes"/>
    <s v="Mustaq"/>
    <n v="1326"/>
    <s v="Friday"/>
    <d v="2015-05-06T00:00:00"/>
    <s v="2months,0days"/>
    <m/>
    <s v="||||||||||||||||||||||||||||||||||||||||||||||||||||||||||||||||||||||||||||||||||||||||||||||||||||||"/>
    <s v="Mustaq Ahmed"/>
    <m/>
  </r>
  <r>
    <s v="Online"/>
    <x v="3"/>
    <x v="2"/>
    <n v="10"/>
    <s v="P1"/>
    <x v="3"/>
    <n v="1"/>
    <s v="E1"/>
    <s v="Sachin Tendulkar"/>
    <s v="AP"/>
    <s v="India"/>
    <s v="Manager 1"/>
    <s v="Sales"/>
    <d v="2012-01-01T00:00:00"/>
    <n v="80"/>
    <n v="100"/>
    <n v="10"/>
    <s v="Domestic"/>
    <n v="100"/>
    <s v="Ram"/>
    <s v="Mumbai"/>
    <s v="IN"/>
    <n v="0"/>
    <n v="0"/>
    <n v="0"/>
    <s v="Poor Sales"/>
    <b v="0"/>
    <n v="1"/>
    <s v="Laptop"/>
    <n v="1"/>
    <s v="Debit"/>
    <s v="POOR SALES"/>
    <s v="False"/>
    <s v="Sachi"/>
    <s v="Domes"/>
    <s v="Sachin"/>
    <n v="80"/>
    <s v="Sunday"/>
    <d v="2012-03-06T00:00:00"/>
    <s v="2months,5days"/>
    <d v="2015-04-01T00:00:00"/>
    <s v="||||||||"/>
    <s v="Sachin Tendulkar"/>
    <m/>
  </r>
  <r>
    <s v="Online"/>
    <x v="3"/>
    <x v="2"/>
    <n v="10"/>
    <s v="P1"/>
    <x v="3"/>
    <n v="1"/>
    <s v="E1"/>
    <s v="Sachin Tendulkar"/>
    <s v="AP"/>
    <s v="India"/>
    <s v="Manager 1"/>
    <s v="Sales"/>
    <d v="2014-01-01T00:00:00"/>
    <n v="80"/>
    <n v="100"/>
    <n v="10"/>
    <s v="Domestic"/>
    <n v="100"/>
    <s v="Ram"/>
    <s v="Mumbai"/>
    <s v="IN"/>
    <n v="0"/>
    <n v="0"/>
    <n v="0"/>
    <s v="Poor Sales"/>
    <b v="0"/>
    <n v="1"/>
    <s v="Laptop"/>
    <n v="1"/>
    <s v="Debit"/>
    <s v="POOR SALES"/>
    <s v="False"/>
    <s v="Sachi"/>
    <s v="Domes"/>
    <s v="Sachin"/>
    <n v="80"/>
    <s v="Wednesday"/>
    <d v="2014-03-06T00:00:00"/>
    <s v="2months,5days"/>
    <m/>
    <s v="||||||||"/>
    <s v="Sachin Tendulkar"/>
    <m/>
  </r>
  <r>
    <s v="Post"/>
    <x v="0"/>
    <x v="0"/>
    <n v="30"/>
    <s v="P5"/>
    <x v="0"/>
    <n v="21"/>
    <s v="E21"/>
    <s v="Simon"/>
    <s v="TX"/>
    <s v="USA"/>
    <s v="Manager 3"/>
    <s v="Finance"/>
    <d v="2013-03-02T00:00:00"/>
    <n v="100"/>
    <n v="900"/>
    <n v="30"/>
    <s v="Domestic"/>
    <n v="100"/>
    <s v="Ram"/>
    <s v="Mumbai"/>
    <s v="IN"/>
    <n v="0"/>
    <s v="20%"/>
    <n v="0"/>
    <s v="Poor Sales"/>
    <b v="0"/>
    <n v="3"/>
    <s v="ATT"/>
    <n v="3"/>
    <s v="Credit"/>
    <s v="POOR SALES"/>
    <s v="False"/>
    <s v="Simon"/>
    <s v="Domes"/>
    <s v="Simon"/>
    <n v="100"/>
    <s v="Saturday"/>
    <d v="2013-05-06T00:00:00"/>
    <s v="2months,4days"/>
    <m/>
    <s v="||||||||||"/>
    <s v="Simon"/>
    <m/>
  </r>
  <r>
    <s v="Post"/>
    <x v="0"/>
    <x v="0"/>
    <n v="30"/>
    <s v="P5"/>
    <x v="0"/>
    <n v="21"/>
    <s v="E21"/>
    <s v="Simon"/>
    <s v="TX"/>
    <s v="USA"/>
    <s v="Manager 3"/>
    <s v="Finance"/>
    <d v="2015-03-02T00:00:00"/>
    <n v="100"/>
    <n v="900"/>
    <n v="30"/>
    <s v="Domestic"/>
    <n v="100"/>
    <s v="Ram"/>
    <s v="Mumbai"/>
    <s v="IN"/>
    <n v="0"/>
    <s v="20%"/>
    <n v="0"/>
    <s v="Poor Sales"/>
    <b v="0"/>
    <n v="2"/>
    <s v="ATT"/>
    <n v="2"/>
    <s v="Credit"/>
    <s v="POOR SALES"/>
    <s v="False"/>
    <s v="Simon"/>
    <s v="Domes"/>
    <s v="Simon"/>
    <n v="100"/>
    <s v="Monday"/>
    <d v="2015-05-06T00:00:00"/>
    <s v="2months,4days"/>
    <m/>
    <s v="||||||||||"/>
    <s v="Simon"/>
    <m/>
  </r>
  <r>
    <s v="Direct"/>
    <x v="1"/>
    <x v="1"/>
    <n v="20"/>
    <s v="P3"/>
    <x v="1"/>
    <n v="13"/>
    <s v="E13"/>
    <s v="Steve"/>
    <s v="VA"/>
    <s v="USA"/>
    <s v="Manager 4"/>
    <s v="Accounting"/>
    <d v="2013-03-03T00:00:00"/>
    <n v="100"/>
    <n v="100"/>
    <n v="22"/>
    <s v="International"/>
    <n v="100"/>
    <s v="Ram"/>
    <s v="Mumbai"/>
    <s v="IN"/>
    <n v="0"/>
    <n v="0"/>
    <n v="0"/>
    <s v="Poor Sales"/>
    <b v="0"/>
    <n v="1"/>
    <s v="Powder"/>
    <n v="1"/>
    <s v="Cash"/>
    <s v="POOR SALES"/>
    <s v="False"/>
    <s v="Steve"/>
    <s v="Inter"/>
    <s v="Steve"/>
    <n v="100"/>
    <s v="Sunday"/>
    <d v="2013-05-06T00:00:00"/>
    <s v="2months,3days"/>
    <m/>
    <s v="||||||||||"/>
    <s v="Steve"/>
    <m/>
  </r>
  <r>
    <s v="Direct"/>
    <x v="1"/>
    <x v="1"/>
    <n v="20"/>
    <s v="P3"/>
    <x v="1"/>
    <n v="13"/>
    <s v="E13"/>
    <s v="Steve"/>
    <s v="VA"/>
    <s v="USA"/>
    <s v="Manager 4"/>
    <s v="Accounting"/>
    <d v="2015-03-03T00:00:00"/>
    <n v="100"/>
    <n v="100"/>
    <n v="22"/>
    <s v="International"/>
    <n v="100"/>
    <s v="Ram"/>
    <s v="Mumbai"/>
    <s v="IN"/>
    <n v="0"/>
    <n v="0"/>
    <n v="0"/>
    <s v="Poor Sales"/>
    <b v="0"/>
    <n v="1"/>
    <s v="Powder"/>
    <n v="1"/>
    <s v="Cash"/>
    <s v="POOR SALES"/>
    <s v="False"/>
    <s v="Steve"/>
    <s v="Inter"/>
    <s v="Steve"/>
    <n v="100"/>
    <s v="Tuesday"/>
    <d v="2015-05-06T00:00:00"/>
    <s v="2months,3days"/>
    <m/>
    <s v="||||||||||"/>
    <s v="Steve"/>
    <m/>
  </r>
  <r>
    <s v="Direct"/>
    <x v="1"/>
    <x v="1"/>
    <n v="20"/>
    <s v="P3"/>
    <x v="1"/>
    <n v="14"/>
    <s v="E14"/>
    <s v="Glenn Mcgrath"/>
    <s v="MD"/>
    <s v="USA"/>
    <s v="Manager 5"/>
    <s v="Accounting"/>
    <d v="2013-03-04T00:00:00"/>
    <n v="550"/>
    <n v="200"/>
    <n v="23"/>
    <s v="Domestic"/>
    <n v="101"/>
    <s v="Ramesh"/>
    <s v="New York"/>
    <s v="US"/>
    <s v="30%"/>
    <s v="20%"/>
    <n v="0"/>
    <s v="Moderate Sales"/>
    <b v="1"/>
    <n v="9"/>
    <s v="Powder"/>
    <n v="9"/>
    <s v="Credit"/>
    <s v="MODERATE SALES"/>
    <s v="True"/>
    <s v="Glenn"/>
    <s v="Domes"/>
    <s v="Glenn"/>
    <n v="715"/>
    <s v="Monday"/>
    <d v="2013-05-06T00:00:00"/>
    <s v="2months,2days"/>
    <m/>
    <s v="|||||||||||||||||||||||||||||||||||||||||||||||||||||||"/>
    <s v="Glenn Mcgrath"/>
    <m/>
  </r>
  <r>
    <s v="Direct"/>
    <x v="1"/>
    <x v="1"/>
    <n v="20"/>
    <s v="P3"/>
    <x v="1"/>
    <n v="14"/>
    <s v="E14"/>
    <s v="Glenn Mcgrath"/>
    <s v="MD"/>
    <s v="USA"/>
    <s v="Manager 5"/>
    <s v="Accounting"/>
    <d v="2015-03-04T00:00:00"/>
    <n v="550"/>
    <n v="200"/>
    <n v="23"/>
    <s v="Domestic"/>
    <n v="101"/>
    <s v="Ramesh"/>
    <s v="New York"/>
    <s v="US"/>
    <s v="30%"/>
    <s v="20%"/>
    <n v="0"/>
    <s v="Moderate Sales"/>
    <b v="1"/>
    <n v="8"/>
    <s v="Powder"/>
    <n v="8"/>
    <s v="Cash"/>
    <s v="MODERATE SALES"/>
    <s v="True"/>
    <s v="Glenn"/>
    <s v="Domes"/>
    <s v="Glenn"/>
    <n v="715"/>
    <s v="Wednesday"/>
    <d v="2015-05-06T00:00:00"/>
    <s v="2months,2days"/>
    <m/>
    <s v="|||||||||||||||||||||||||||||||||||||||||||||||||||||||"/>
    <s v="Glenn Mcgrath"/>
    <m/>
  </r>
  <r>
    <s v="Post"/>
    <x v="0"/>
    <x v="0"/>
    <n v="30"/>
    <s v="P5"/>
    <x v="0"/>
    <n v="24"/>
    <s v="E24"/>
    <s v="John"/>
    <s v="IL+J86:K96"/>
    <s v="UK"/>
    <s v="Manager 3"/>
    <s v="Finance"/>
    <d v="2012-01-03T00:00:00"/>
    <n v="988"/>
    <n v="1200"/>
    <n v="33"/>
    <s v="Domestic"/>
    <n v="101"/>
    <s v="Ramesh"/>
    <s v="New York"/>
    <s v="US"/>
    <s v="30%"/>
    <s v="20%"/>
    <s v="20%"/>
    <s v="Great Sales"/>
    <b v="1"/>
    <n v="1"/>
    <s v="ATT"/>
    <n v="1"/>
    <s v="Credit"/>
    <s v="GREAT SALES"/>
    <s v="True"/>
    <s v="John"/>
    <s v="Domes"/>
    <s v="John"/>
    <n v="1284.4000000000001"/>
    <s v="Tuesday"/>
    <d v="2012-03-06T00:00:00"/>
    <s v="2months,3days"/>
    <n v="70.34"/>
    <s v="||||||||||||||||||||||||||||||||||||||||||||||||||||||||||||||||||||||||||||||||||||||||||||||||||"/>
    <s v="John"/>
    <m/>
  </r>
  <r>
    <s v="Post"/>
    <x v="0"/>
    <x v="0"/>
    <n v="30"/>
    <s v="P5"/>
    <x v="0"/>
    <n v="24"/>
    <s v="E24"/>
    <s v="John"/>
    <s v="IL"/>
    <s v="USA"/>
    <s v="Manager 3"/>
    <s v="Finance"/>
    <d v="2014-01-03T00:00:00"/>
    <n v="988"/>
    <n v="1200"/>
    <n v="33"/>
    <s v="Domestic"/>
    <n v="101"/>
    <s v="Ramesh"/>
    <s v="New York"/>
    <s v="US"/>
    <s v="30%"/>
    <s v="20%"/>
    <s v="20%"/>
    <s v="Great Sales"/>
    <b v="1"/>
    <n v="1"/>
    <s v="ATT"/>
    <n v="1"/>
    <s v="Credit"/>
    <s v="GREAT SALES"/>
    <s v="True"/>
    <s v="John"/>
    <s v="Domes"/>
    <s v="John"/>
    <n v="1284.4000000000001"/>
    <s v="Friday"/>
    <d v="2014-03-06T00:00:00"/>
    <s v="2months,3days"/>
    <m/>
    <s v="||||||||||||||||||||||||||||||||||||||||||||||||||||||||||||||||||||||||||||||||||||||||||||||||||"/>
    <s v="John"/>
    <m/>
  </r>
  <r>
    <s v="Post"/>
    <x v="2"/>
    <x v="0"/>
    <n v="38"/>
    <s v="P6"/>
    <x v="2"/>
    <n v="29"/>
    <s v="E29"/>
    <s v="Kaushik"/>
    <s v="TX"/>
    <s v="USA"/>
    <s v="Manager 9"/>
    <s v="Audit"/>
    <d v="2013-03-07T00:00:00"/>
    <n v="988"/>
    <n v="1600"/>
    <n v="38"/>
    <s v="International"/>
    <n v="101"/>
    <s v="Ramesh"/>
    <s v="New York"/>
    <s v="US"/>
    <s v="30%"/>
    <s v="20%"/>
    <s v="20%"/>
    <s v="Great Sales"/>
    <b v="1"/>
    <n v="1"/>
    <s v="ATT"/>
    <n v="1"/>
    <s v="Credit"/>
    <s v="GREAT SALES"/>
    <s v="True"/>
    <s v="Kaush"/>
    <s v="Inter"/>
    <s v="Kaushik"/>
    <n v="1284.4000000000001"/>
    <s v="Thursday"/>
    <d v="2013-05-06T00:00:00"/>
    <s v="1months,29days"/>
    <m/>
    <s v="||||||||||||||||||||||||||||||||||||||||||||||||||||||||||||||||||||||||||||||||||||||||||||||||||"/>
    <s v="Kaushik"/>
    <m/>
  </r>
  <r>
    <s v="Post"/>
    <x v="2"/>
    <x v="0"/>
    <n v="38"/>
    <s v="P6"/>
    <x v="2"/>
    <n v="29"/>
    <s v="E29"/>
    <s v="Kaushik"/>
    <s v="TX"/>
    <s v="USA"/>
    <s v="Manager 9"/>
    <s v="Audit"/>
    <d v="2015-03-07T00:00:00"/>
    <n v="988"/>
    <n v="1600"/>
    <n v="38"/>
    <s v="International"/>
    <n v="101"/>
    <s v="Ramesh"/>
    <s v="New York"/>
    <s v="US"/>
    <s v="30%"/>
    <s v="20%"/>
    <s v="20%"/>
    <s v="Great Sales"/>
    <b v="1"/>
    <n v="1"/>
    <s v="ATT"/>
    <n v="1"/>
    <s v="Credit"/>
    <s v="GREAT SALES"/>
    <s v="True"/>
    <s v="Kaush"/>
    <s v="Inter"/>
    <s v="Kaushik"/>
    <n v="1284.4000000000001"/>
    <s v="Saturday"/>
    <d v="2015-05-06T00:00:00"/>
    <s v="1months,29days"/>
    <m/>
    <s v="||||||||||||||||||||||||||||||||||||||||||||||||||||||||||||||||||||||||||||||||||||||||||||||||||"/>
    <s v="Kaushik"/>
    <m/>
  </r>
  <r>
    <s v="Post"/>
    <x v="0"/>
    <x v="0"/>
    <n v="30"/>
    <s v="P5"/>
    <x v="0"/>
    <n v="22"/>
    <s v="E22"/>
    <s v="Mark"/>
    <s v="IL"/>
    <s v="USA"/>
    <s v="Manager 3"/>
    <s v="Finance"/>
    <d v="2013-03-03T00:00:00"/>
    <n v="1000"/>
    <n v="1000"/>
    <n v="31"/>
    <s v="International"/>
    <n v="101"/>
    <s v="Ramesh"/>
    <s v="New York"/>
    <s v="US"/>
    <s v="30%"/>
    <s v="20%"/>
    <s v="20%"/>
    <s v="Great Sales"/>
    <b v="1"/>
    <n v="1"/>
    <s v="ATT"/>
    <n v="1"/>
    <s v="Cash"/>
    <s v="GREAT SALES"/>
    <s v="True"/>
    <s v="Mark"/>
    <s v="Inter"/>
    <s v="Mark"/>
    <n v="1300"/>
    <s v="Sunday"/>
    <d v="2013-05-06T00:00:00"/>
    <s v="2months,3days"/>
    <m/>
    <s v="||||||||||||||||||||||||||||||||||||||||||||||||||||||||||||||||||||||||||||||||||||||||||||||||||||"/>
    <s v="Mark"/>
    <m/>
  </r>
  <r>
    <s v="Post"/>
    <x v="0"/>
    <x v="0"/>
    <n v="30"/>
    <s v="P5"/>
    <x v="0"/>
    <n v="22"/>
    <s v="E22"/>
    <s v="Mark"/>
    <s v="IL"/>
    <s v="USA"/>
    <s v="Manager 3"/>
    <s v="Finance"/>
    <d v="2015-03-03T00:00:00"/>
    <n v="1000"/>
    <n v="1000"/>
    <n v="31"/>
    <s v="International"/>
    <n v="101"/>
    <s v="Ramesh"/>
    <s v="New York"/>
    <s v="US"/>
    <s v="30%"/>
    <s v="20%"/>
    <s v="20%"/>
    <s v="Great Sales"/>
    <b v="1"/>
    <n v="1"/>
    <s v="ATT"/>
    <n v="1"/>
    <s v="Credit"/>
    <s v="GREAT SALES"/>
    <s v="True"/>
    <s v="Mark"/>
    <s v="Inter"/>
    <s v="Mark"/>
    <n v="1300"/>
    <s v="Tuesday"/>
    <d v="2015-05-06T00:00:00"/>
    <s v="2months,3days"/>
    <m/>
    <s v="||||||||||||||||||||||||||||||||||||||||||||||||||||||||||||||||||||||||||||||||||||||||||||||||||||"/>
    <s v="Mark"/>
    <m/>
  </r>
  <r>
    <s v="Online"/>
    <x v="3"/>
    <x v="2"/>
    <n v="10"/>
    <s v="P1"/>
    <x v="3"/>
    <n v="2"/>
    <s v="E2"/>
    <s v="Rahul Dravid"/>
    <s v="AP"/>
    <s v="India"/>
    <s v="Manager 1"/>
    <s v="Sales"/>
    <d v="2012-01-02T00:00:00"/>
    <n v="180"/>
    <n v="200"/>
    <n v="11"/>
    <s v="International"/>
    <n v="101"/>
    <s v="Ramesh"/>
    <s v="New York"/>
    <s v="US"/>
    <n v="0"/>
    <n v="0"/>
    <n v="0"/>
    <s v="Poor Sales"/>
    <b v="0"/>
    <n v="1"/>
    <s v="Laptop"/>
    <n v="1"/>
    <s v="Debit"/>
    <s v="POOR SALES"/>
    <s v="False"/>
    <s v="Rahul"/>
    <s v="Inter"/>
    <s v="Rahul"/>
    <n v="180"/>
    <s v="Monday"/>
    <d v="2012-03-06T00:00:00"/>
    <s v="2months,4days"/>
    <d v="2015-05-01T00:00:00"/>
    <s v="||||||||||||||||||"/>
    <s v="Rahul Dravid"/>
    <m/>
  </r>
  <r>
    <s v="Online"/>
    <x v="3"/>
    <x v="2"/>
    <n v="10"/>
    <s v="P1"/>
    <x v="3"/>
    <n v="2"/>
    <s v="E2"/>
    <s v="Rahul Dravid"/>
    <s v="AP"/>
    <s v="India"/>
    <s v="Manager 1"/>
    <s v="Sales"/>
    <d v="2014-01-02T00:00:00"/>
    <n v="180"/>
    <n v="200"/>
    <n v="11"/>
    <s v="International"/>
    <n v="101"/>
    <s v="Ramesh"/>
    <s v="New York"/>
    <s v="US"/>
    <n v="0"/>
    <n v="0"/>
    <n v="0"/>
    <s v="Poor Sales"/>
    <b v="0"/>
    <n v="1"/>
    <s v="Laptop"/>
    <n v="1"/>
    <s v="Debit"/>
    <s v="POOR SALES"/>
    <s v="False"/>
    <s v="Rahul"/>
    <s v="Inter"/>
    <s v="Rahul"/>
    <n v="180"/>
    <s v="Thursday"/>
    <d v="2014-03-06T00:00:00"/>
    <s v="2months,4days"/>
    <m/>
    <s v="||||||||||||||||||"/>
    <s v="Rahul Dravid"/>
    <m/>
  </r>
  <r>
    <s v="Online"/>
    <x v="5"/>
    <x v="2"/>
    <n v="14"/>
    <s v="P2"/>
    <x v="5"/>
    <n v="5"/>
    <s v="E5"/>
    <s v="Rahul Gandhi"/>
    <s v="HR"/>
    <s v="India"/>
    <s v="Manager 2"/>
    <s v="Sales"/>
    <d v="2013-03-04T00:00:00"/>
    <n v="988"/>
    <n v="500"/>
    <n v="14"/>
    <s v="International"/>
    <n v="101"/>
    <s v="Ramesh"/>
    <s v="New York"/>
    <s v="US"/>
    <s v="30%"/>
    <s v="20%"/>
    <s v="20%"/>
    <s v="Great Sales"/>
    <b v="1"/>
    <n v="1"/>
    <s v="Laptop"/>
    <n v="1"/>
    <s v="Credit"/>
    <s v="GREAT SALES"/>
    <s v="True"/>
    <s v="Rahul"/>
    <s v="Inter"/>
    <s v="Rahul"/>
    <n v="1284.4000000000001"/>
    <s v="Monday"/>
    <d v="2013-05-06T00:00:00"/>
    <s v="2months,2days"/>
    <m/>
    <s v="||||||||||||||||||||||||||||||||||||||||||||||||||||||||||||||||||||||||||||||||||||||||||||||||||"/>
    <s v="Rahul Gandhi"/>
    <m/>
  </r>
  <r>
    <s v="Online"/>
    <x v="5"/>
    <x v="2"/>
    <n v="14"/>
    <s v="P2"/>
    <x v="5"/>
    <n v="5"/>
    <s v="E5"/>
    <s v="Rahul Gandhi"/>
    <s v="HR"/>
    <s v="India"/>
    <s v="Manager 2"/>
    <s v="Sales"/>
    <d v="2015-03-04T00:00:00"/>
    <n v="988"/>
    <n v="500"/>
    <n v="14"/>
    <s v="International"/>
    <n v="101"/>
    <s v="Ramesh"/>
    <s v="New York"/>
    <s v="US"/>
    <s v="30%"/>
    <s v="20%"/>
    <s v="20%"/>
    <s v="Great Sales"/>
    <b v="1"/>
    <n v="1"/>
    <s v="Laptop"/>
    <n v="1"/>
    <s v="Credit"/>
    <s v="GREAT SALES"/>
    <s v="True"/>
    <s v="Rahul"/>
    <s v="Inter"/>
    <s v="Rahul"/>
    <n v="1284.4000000000001"/>
    <s v="Wednesday"/>
    <d v="2015-05-06T00:00:00"/>
    <s v="2months,2days"/>
    <m/>
    <s v="||||||||||||||||||||||||||||||||||||||||||||||||||||||||||||||||||||||||||||||||||||||||||||||||||"/>
    <s v="Rahul Gandhi"/>
    <m/>
  </r>
  <r>
    <s v="Direct"/>
    <x v="1"/>
    <x v="1"/>
    <n v="20"/>
    <s v="P3"/>
    <x v="1"/>
    <n v="13"/>
    <s v="E13"/>
    <s v="Steve"/>
    <s v="VA"/>
    <s v="USA"/>
    <s v="Manager 4"/>
    <s v="Accounting"/>
    <d v="2012-01-04T00:00:00"/>
    <n v="100"/>
    <n v="100"/>
    <n v="22"/>
    <s v="Domestic"/>
    <n v="101"/>
    <s v="Ramesh"/>
    <s v="New York"/>
    <s v="US"/>
    <n v="0"/>
    <n v="0"/>
    <n v="0"/>
    <s v="Poor Sales"/>
    <b v="0"/>
    <n v="1"/>
    <s v="Powder"/>
    <n v="1"/>
    <s v="Cash"/>
    <s v="POOR SALES"/>
    <s v="False"/>
    <s v="Steve"/>
    <s v="Domes"/>
    <s v="Steve"/>
    <n v="100"/>
    <s v="Wednesday"/>
    <d v="2012-03-06T00:00:00"/>
    <s v="2months,2days"/>
    <n v="0.09"/>
    <s v="||||||||||"/>
    <s v="Steve"/>
    <m/>
  </r>
  <r>
    <s v="Direct"/>
    <x v="1"/>
    <x v="1"/>
    <n v="20"/>
    <s v="P3"/>
    <x v="1"/>
    <n v="13"/>
    <s v="E13"/>
    <s v="Steve"/>
    <s v="VA"/>
    <s v="USA"/>
    <s v="Manager 4"/>
    <s v="Accounting"/>
    <d v="2014-01-04T00:00:00"/>
    <n v="100"/>
    <n v="100"/>
    <n v="22"/>
    <s v="Domestic"/>
    <n v="101"/>
    <s v="Ramesh"/>
    <s v="New York"/>
    <s v="US"/>
    <n v="0"/>
    <n v="0"/>
    <n v="0"/>
    <s v="Poor Sales"/>
    <b v="0"/>
    <n v="1"/>
    <s v="Powder"/>
    <n v="1"/>
    <s v="Cash"/>
    <s v="POOR SALES"/>
    <s v="False"/>
    <s v="Steve"/>
    <s v="Domes"/>
    <s v="Steve"/>
    <n v="100"/>
    <s v="Saturday"/>
    <d v="2014-03-06T00:00:00"/>
    <s v="2months,2days"/>
    <m/>
    <s v="||||||||||"/>
    <s v="Steve"/>
    <m/>
  </r>
  <r>
    <s v="Direct"/>
    <x v="4"/>
    <x v="1"/>
    <n v="24"/>
    <s v="P4"/>
    <x v="4"/>
    <n v="15"/>
    <s v="E15"/>
    <s v="Bret Lee"/>
    <s v="NY"/>
    <s v="USA"/>
    <s v="Manager 4"/>
    <s v="Accounting"/>
    <d v="2013-03-05T00:00:00"/>
    <n v="680"/>
    <n v="300"/>
    <n v="24"/>
    <s v="International"/>
    <n v="102"/>
    <s v="Suresh"/>
    <s v="London"/>
    <s v="UK"/>
    <s v="30%"/>
    <s v="20%"/>
    <n v="0"/>
    <s v="Moderate Sales"/>
    <b v="1"/>
    <n v="3"/>
    <s v="Powder"/>
    <n v="3"/>
    <s v="Credit"/>
    <s v="MODERATE SALES"/>
    <s v="True"/>
    <s v="Bret "/>
    <s v="Inter"/>
    <s v="Bret"/>
    <n v="884"/>
    <s v="Tuesday"/>
    <d v="2013-05-06T00:00:00"/>
    <s v="2months,1days"/>
    <m/>
    <s v="||||||||||||||||||||||||||||||||||||||||||||||||||||||||||||||||||||"/>
    <s v="Bret Lee"/>
    <m/>
  </r>
  <r>
    <s v="Direct"/>
    <x v="4"/>
    <x v="1"/>
    <n v="24"/>
    <s v="P4"/>
    <x v="4"/>
    <n v="15"/>
    <s v="E15"/>
    <s v="Bret Lee"/>
    <s v="NY"/>
    <s v="USA"/>
    <s v="Manager 4"/>
    <s v="Accounting"/>
    <d v="2015-03-05T00:00:00"/>
    <n v="680"/>
    <n v="300"/>
    <n v="24"/>
    <s v="International"/>
    <n v="102"/>
    <s v="Suresh"/>
    <s v="London"/>
    <s v="UK"/>
    <s v="30%"/>
    <s v="20%"/>
    <n v="0"/>
    <s v="Moderate Sales"/>
    <b v="1"/>
    <n v="2"/>
    <s v="Powder"/>
    <n v="2"/>
    <s v="Credit"/>
    <s v="MODERATE SALES"/>
    <s v="True"/>
    <s v="Bret "/>
    <s v="Inter"/>
    <s v="Bret"/>
    <n v="884"/>
    <s v="Thursday"/>
    <d v="2015-05-06T00:00:00"/>
    <s v="2months,1days"/>
    <m/>
    <s v="||||||||||||||||||||||||||||||||||||||||||||||||||||||||||||||||||||"/>
    <s v="Bret Lee"/>
    <m/>
  </r>
  <r>
    <s v="Direct"/>
    <x v="1"/>
    <x v="1"/>
    <n v="20"/>
    <s v="P3"/>
    <x v="1"/>
    <n v="14"/>
    <s v="E14"/>
    <s v="Glenn Mcgrath"/>
    <s v="MD"/>
    <s v="USA"/>
    <s v="Manager 5"/>
    <s v="Accounting"/>
    <d v="2012-01-05T00:00:00"/>
    <n v="200"/>
    <n v="200"/>
    <n v="23"/>
    <s v="International"/>
    <n v="102"/>
    <s v="Suresh"/>
    <s v="London"/>
    <s v="UK"/>
    <n v="0"/>
    <n v="0"/>
    <n v="0"/>
    <s v="Poor Sales"/>
    <b v="0"/>
    <n v="1"/>
    <s v="Powder"/>
    <n v="1"/>
    <s v="Credit"/>
    <s v="POOR SALES"/>
    <s v="False"/>
    <s v="Glenn"/>
    <s v="Inter"/>
    <s v="Glenn"/>
    <n v="200"/>
    <s v="Thursday"/>
    <d v="2012-03-06T00:00:00"/>
    <s v="2months,1days"/>
    <n v="0.1"/>
    <s v="||||||||||||||||||||"/>
    <s v="Glenn Mcgrath"/>
    <m/>
  </r>
  <r>
    <s v="Direct"/>
    <x v="1"/>
    <x v="1"/>
    <n v="20"/>
    <s v="P3"/>
    <x v="1"/>
    <n v="14"/>
    <s v="E14"/>
    <s v="Glenn Mcgrath"/>
    <s v="MD"/>
    <s v="USA"/>
    <s v="Manager 5"/>
    <s v="Accounting"/>
    <d v="2014-01-05T00:00:00"/>
    <n v="200"/>
    <n v="200"/>
    <n v="23"/>
    <s v="International"/>
    <n v="102"/>
    <s v="Suresh"/>
    <s v="London"/>
    <s v="UK"/>
    <n v="0"/>
    <n v="0"/>
    <n v="0"/>
    <s v="Poor Sales"/>
    <b v="0"/>
    <n v="1"/>
    <s v="Powder"/>
    <n v="1"/>
    <s v="Credit"/>
    <s v="POOR SALES"/>
    <s v="False"/>
    <s v="Glenn"/>
    <s v="Inter"/>
    <s v="Glenn"/>
    <n v="200"/>
    <s v="Sunday"/>
    <d v="2014-03-06T00:00:00"/>
    <s v="2months,1days"/>
    <m/>
    <s v="||||||||||||||||||||"/>
    <s v="Glenn Mcgrath"/>
    <m/>
  </r>
  <r>
    <s v="Post"/>
    <x v="2"/>
    <x v="0"/>
    <n v="38"/>
    <s v="P6"/>
    <x v="2"/>
    <n v="25"/>
    <s v="E25"/>
    <s v="Jeffery"/>
    <s v="TX"/>
    <s v="UK"/>
    <s v="Manager 3"/>
    <s v="Finance"/>
    <d v="2012-01-04T00:00:00"/>
    <n v="100"/>
    <n v="1300"/>
    <n v="34"/>
    <s v="International"/>
    <n v="102"/>
    <s v="Suresh"/>
    <s v="London"/>
    <s v="UK"/>
    <n v="0"/>
    <s v="20%"/>
    <n v="0"/>
    <s v="Poor Sales"/>
    <b v="0"/>
    <s v="Error"/>
    <s v="ATT"/>
    <e v="#N/A"/>
    <s v="Credit"/>
    <s v="POOR SALES"/>
    <s v="False"/>
    <s v="Jeffe"/>
    <s v="Inter"/>
    <s v="Jeffery"/>
    <n v="100"/>
    <s v="Wednesday"/>
    <d v="2012-03-06T00:00:00"/>
    <s v="2months,2days"/>
    <m/>
    <s v="||||||||||"/>
    <s v="Jeffery"/>
    <m/>
  </r>
  <r>
    <s v="Post"/>
    <x v="2"/>
    <x v="0"/>
    <n v="38"/>
    <s v="P6"/>
    <x v="2"/>
    <n v="25"/>
    <s v="E25"/>
    <s v="Jeffery"/>
    <s v="TX"/>
    <s v="USA"/>
    <s v="Manager 3"/>
    <s v="Finance"/>
    <d v="2014-01-04T00:00:00"/>
    <n v="100"/>
    <n v="1300"/>
    <n v="34"/>
    <s v="International"/>
    <n v="102"/>
    <s v="Suresh"/>
    <s v="London"/>
    <s v="UK"/>
    <n v="0"/>
    <s v="20%"/>
    <n v="0"/>
    <s v="Poor Sales"/>
    <b v="0"/>
    <s v="Error"/>
    <s v="ATT"/>
    <e v="#N/A"/>
    <s v="Credit"/>
    <s v="POOR SALES"/>
    <s v="False"/>
    <s v="Jeffe"/>
    <s v="Inter"/>
    <s v="Jeffery"/>
    <n v="100"/>
    <s v="Saturday"/>
    <d v="2014-03-06T00:00:00"/>
    <s v="2months,2days"/>
    <m/>
    <s v="||||||||||"/>
    <s v="Jeffery"/>
    <m/>
  </r>
  <r>
    <s v="Online"/>
    <x v="3"/>
    <x v="2"/>
    <n v="10"/>
    <s v="P1"/>
    <x v="3"/>
    <n v="3"/>
    <s v="E3"/>
    <s v="Saurav"/>
    <s v="AP"/>
    <s v="India"/>
    <s v="Manager 1"/>
    <s v="Sales"/>
    <d v="2012-01-03T00:00:00"/>
    <n v="305"/>
    <n v="300"/>
    <n v="12"/>
    <s v="Domestic"/>
    <n v="102"/>
    <s v="Suresh"/>
    <s v="London"/>
    <s v="UK"/>
    <s v="30%"/>
    <s v="20%"/>
    <n v="0"/>
    <s v="Poor Sales"/>
    <b v="1"/>
    <s v="Error"/>
    <s v="Laptop"/>
    <e v="#N/A"/>
    <s v="Debit"/>
    <s v="POOR SALES"/>
    <s v="True"/>
    <s v="Saura"/>
    <s v="Domes"/>
    <s v="Saurav"/>
    <n v="396.5"/>
    <s v="Tuesday"/>
    <d v="2012-03-06T00:00:00"/>
    <s v="2months,3days"/>
    <d v="2015-06-01T00:00:00"/>
    <s v="||||||||||||||||||||||||||||||"/>
    <s v="Saurav"/>
    <m/>
  </r>
  <r>
    <s v="Online"/>
    <x v="3"/>
    <x v="2"/>
    <n v="10"/>
    <s v="P1"/>
    <x v="3"/>
    <n v="3"/>
    <s v="E3"/>
    <s v="Saurav"/>
    <s v="AP"/>
    <s v="India"/>
    <s v="Manager 1"/>
    <s v="Sales"/>
    <d v="2014-01-03T00:00:00"/>
    <n v="305"/>
    <n v="300"/>
    <n v="12"/>
    <s v="Domestic"/>
    <n v="102"/>
    <s v="Suresh"/>
    <s v="London"/>
    <s v="UK"/>
    <s v="30%"/>
    <s v="20%"/>
    <n v="0"/>
    <s v="Poor Sales"/>
    <b v="1"/>
    <s v="Error"/>
    <s v="Laptop"/>
    <e v="#N/A"/>
    <s v="Debit"/>
    <s v="POOR SALES"/>
    <s v="True"/>
    <s v="Saura"/>
    <s v="Domes"/>
    <s v="Saurav"/>
    <n v="396.5"/>
    <s v="Friday"/>
    <d v="2014-03-06T00:00:00"/>
    <s v="2months,3days"/>
    <m/>
    <s v="||||||||||||||||||||||||||||||"/>
    <s v="Saurav"/>
    <m/>
  </r>
  <r>
    <s v="Online"/>
    <x v="5"/>
    <x v="2"/>
    <n v="14"/>
    <s v="P2"/>
    <x v="5"/>
    <n v="6"/>
    <s v="E6"/>
    <s v="Yuvraj Singh"/>
    <s v="HR"/>
    <s v="India"/>
    <s v="Manager 2"/>
    <s v="Sales"/>
    <d v="2013-03-05T00:00:00"/>
    <n v="100"/>
    <n v="600"/>
    <n v="15"/>
    <s v="Domestic"/>
    <n v="102"/>
    <s v="Suresh"/>
    <s v="London"/>
    <s v="UK"/>
    <n v="0"/>
    <s v="20%"/>
    <n v="0"/>
    <s v="Poor Sales"/>
    <b v="0"/>
    <s v="Error"/>
    <s v="Laptop"/>
    <e v="#N/A"/>
    <s v="Credit"/>
    <s v="POOR SALES"/>
    <s v="False"/>
    <s v="Yuvra"/>
    <s v="Domes"/>
    <s v="Yuvraj"/>
    <n v="100"/>
    <s v="Tuesday"/>
    <d v="2013-05-06T00:00:00"/>
    <s v="2months,1days"/>
    <m/>
    <s v="||||||||||"/>
    <s v="Yuvraj Singh"/>
    <m/>
  </r>
  <r>
    <s v="Online"/>
    <x v="5"/>
    <x v="2"/>
    <n v="14"/>
    <s v="P2"/>
    <x v="5"/>
    <n v="6"/>
    <s v="E6"/>
    <s v="Yuvraj Singh"/>
    <s v="HR"/>
    <s v="India"/>
    <s v="Manager 2"/>
    <s v="Sales"/>
    <d v="2015-03-05T00:00:00"/>
    <n v="100"/>
    <n v="600"/>
    <n v="15"/>
    <s v="Domestic"/>
    <n v="102"/>
    <s v="Suresh"/>
    <s v="London"/>
    <s v="UK"/>
    <n v="0"/>
    <s v="20%"/>
    <n v="0"/>
    <s v="Poor Sales"/>
    <b v="0"/>
    <s v="Error"/>
    <s v="Laptop"/>
    <e v="#N/A"/>
    <s v="Credit"/>
    <s v="POOR SALES"/>
    <s v="False"/>
    <s v="Yuvra"/>
    <s v="Domes"/>
    <s v="Yuvraj"/>
    <n v="100"/>
    <s v="Thursday"/>
    <d v="2015-05-06T00:00:00"/>
    <s v="2months,1days"/>
    <m/>
    <s v="||||||||||"/>
    <s v="Yuvraj Singh"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n v="916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n v="118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n v="107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n v="6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n v="4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2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1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30"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60"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13"/>
    <n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n v="133"/>
    <n v="2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3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2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AS2:AT10" firstHeaderRow="1" firstDataRow="1" firstDataCol="1"/>
  <pivotFields count="44">
    <pivotField showAll="0"/>
    <pivotField showAll="0"/>
    <pivotField showAll="0"/>
    <pivotField showAll="0"/>
    <pivotField showAll="0"/>
    <pivotField axis="axisRow" showAll="0">
      <items count="8">
        <item x="0"/>
        <item x="5"/>
        <item x="3"/>
        <item x="1"/>
        <item x="4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Sales_Cost" fld="14" baseField="0" baseItem="0"/>
  </dataFields>
  <pivotTableStyleInfo name="PivotStyleMedium18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1" nextId="12">
    <queryTableFields count="11">
      <queryTableField id="1" name="                          Date" tableColumnId="1"/>
      <queryTableField id="2" name="Client" tableColumnId="2"/>
      <queryTableField id="3" name="Department.1" tableColumnId="3"/>
      <queryTableField id="4" name="Department.2" tableColumnId="4"/>
      <queryTableField id="5" name="Payment" tableColumnId="5"/>
      <queryTableField id="6" name="Revenue" tableColumnId="6"/>
      <queryTableField id="7" name="Profit" tableColumnId="7"/>
      <queryTableField id="8" name="Profit Margin" tableColumnId="8"/>
      <queryTableField id="9" name="Column10" tableColumnId="9"/>
      <queryTableField id="10" name="Gmail address" tableColumnId="10"/>
      <queryTableField id="11" name="Profit Status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AR117" totalsRowShown="0">
  <sortState ref="A1:AR117">
    <sortCondition ref="T2:T117"/>
    <sortCondition ref="I2:I117"/>
    <sortCondition ref="O2:O117"/>
  </sortState>
  <tableColumns count="44">
    <tableColumn id="1" name="Channel Type" dataDxfId="3"/>
    <tableColumn id="2" name="Pay Type" dataDxfId="4"/>
    <tableColumn id="3" name="Item Category" dataDxfId="5"/>
    <tableColumn id="4" name="Item ID" dataDxfId="6"/>
    <tableColumn id="5" name="Item code" dataDxfId="7"/>
    <tableColumn id="6" name="Item Name" dataDxfId="8"/>
    <tableColumn id="7" name="Employee ID" dataDxfId="9"/>
    <tableColumn id="8" name="Employee Code" dataDxfId="10"/>
    <tableColumn id="9" name="Employee Name" dataDxfId="11"/>
    <tableColumn id="10" name="Employee Locations" dataDxfId="12"/>
    <tableColumn id="11" name="Employee Country" dataDxfId="13"/>
    <tableColumn id="12" name="Manager" dataDxfId="14"/>
    <tableColumn id="13" name="Department" dataDxfId="15"/>
    <tableColumn id="14" name="Sales Date" dataDxfId="16"/>
    <tableColumn id="15" name="Sales_Cost" dataDxfId="17"/>
    <tableColumn id="16" name="Sales_Amt" dataDxfId="18"/>
    <tableColumn id="17" name="Sales_Qty" dataDxfId="19"/>
    <tableColumn id="18" name="Sales Type" dataDxfId="20"/>
    <tableColumn id="19" name="Customer ID" dataDxfId="21"/>
    <tableColumn id="20" name="Customer Name" dataDxfId="22"/>
    <tableColumn id="21" name="Customer Location" dataDxfId="23"/>
    <tableColumn id="22" name="Customer Country" dataDxfId="24"/>
    <tableColumn id="23" name="IF Condittion">
      <calculatedColumnFormula>IF(O2&gt;200,"30%",0)</calculatedColumnFormula>
    </tableColumn>
    <tableColumn id="24" name="OR condition">
      <calculatedColumnFormula>IF(OR(O2&gt;200,P2&gt;300),"20%",0)</calculatedColumnFormula>
    </tableColumn>
    <tableColumn id="25" name="AND condition">
      <calculatedColumnFormula>IF(AND(O2&gt;200,P2&gt;300),"20%",0)</calculatedColumnFormula>
    </tableColumn>
    <tableColumn id="26" name="Nested IF">
      <calculatedColumnFormula>IF(O2&gt;800,"Great Sales",IF(O2&gt;400,"Moderate Sales","Poor Sales"))</calculatedColumnFormula>
    </tableColumn>
    <tableColumn id="27" name="Not Function">
      <calculatedColumnFormula>NOT(W2=0)</calculatedColumnFormula>
    </tableColumn>
    <tableColumn id="28" name="IFERROR condition">
      <calculatedColumnFormula>IFERROR(AD2,"Error")</calculatedColumnFormula>
    </tableColumn>
    <tableColumn id="29" name="VLOOKUP FUNCTION" dataDxfId="25">
      <calculatedColumnFormula>VLOOKUP(A2,$A$2:$AB$117,6,0)</calculatedColumnFormula>
    </tableColumn>
    <tableColumn id="30" name="Match Function">
      <calculatedColumnFormula>MATCH(Y2,X2:X117,0)</calculatedColumnFormula>
    </tableColumn>
    <tableColumn id="31" name="Lookup Function">
      <calculatedColumnFormula>LOOKUP(G2,G2:G117,B2:B117)</calculatedColumnFormula>
    </tableColumn>
    <tableColumn id="32" name="Upper Case">
      <calculatedColumnFormula>UPPER(Z2)</calculatedColumnFormula>
    </tableColumn>
    <tableColumn id="33" name="Proper">
      <calculatedColumnFormula>PROPER(AA2)</calculatedColumnFormula>
    </tableColumn>
    <tableColumn id="34" name="Right">
      <calculatedColumnFormula>LEFT(I2,5)</calculatedColumnFormula>
    </tableColumn>
    <tableColumn id="35" name="MID " dataDxfId="26">
      <calculatedColumnFormula>MID(N2,5,8)</calculatedColumnFormula>
    </tableColumn>
    <tableColumn id="36" name="Flash fill"/>
    <tableColumn id="37" name="TTC">
      <calculatedColumnFormula>O2*(1+W2)</calculatedColumnFormula>
    </tableColumn>
    <tableColumn id="38" name="Text Function">
      <calculatedColumnFormula>TEXT(N2,"DDDD")</calculatedColumnFormula>
    </tableColumn>
    <tableColumn id="39" name="EOMONTH" dataDxfId="27">
      <calculatedColumnFormula>EOMONTH(N2,1)+6</calculatedColumnFormula>
    </tableColumn>
    <tableColumn id="40" name="DATEDIFF function">
      <calculatedColumnFormula>DATEDIF(N2,AM2,"ym")&amp;"months,"&amp;DATEDIF(N2,AM2,"md")&amp;"days"</calculatedColumnFormula>
    </tableColumn>
    <tableColumn id="41" name="Number formating"/>
    <tableColumn id="42" name="DATA BAR" dataDxfId="28">
      <calculatedColumnFormula>REPT("|",O2/10)</calculatedColumnFormula>
    </tableColumn>
    <tableColumn id="43" name="Custom Formating" dataDxfId="29"/>
    <tableColumn id="44" name="Customn Formating -1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Data_Cleaning" displayName="Data_Cleaning" ref="A1:K26" tableType="queryTable" totalsRowShown="0">
  <autoFilter xmlns:etc="http://www.wps.cn/officeDocument/2017/etCustomData" ref="A1:K26" etc:filterBottomFollowUsedRange="0"/>
  <tableColumns count="11">
    <tableColumn id="1" name="                          Date" uniqueName="1" queryTableFieldId="1" dataDxfId="39"/>
    <tableColumn id="2" name="Client" uniqueName="2" queryTableFieldId="2" dataDxfId="40"/>
    <tableColumn id="3" name="Department.1" uniqueName="3" queryTableFieldId="3" dataDxfId="41"/>
    <tableColumn id="4" name="Location" uniqueName="4" queryTableFieldId="4" dataDxfId="42"/>
    <tableColumn id="5" name="Payment" uniqueName="5" queryTableFieldId="5" dataDxfId="43"/>
    <tableColumn id="6" name="Revenue" uniqueName="6" queryTableFieldId="6"/>
    <tableColumn id="7" name="Profit" uniqueName="7" queryTableFieldId="7"/>
    <tableColumn id="8" name="Profit Margin" uniqueName="8" queryTableFieldId="8"/>
    <tableColumn id="9" name="Column10" uniqueName="9" queryTableFieldId="9" dataDxfId="44"/>
    <tableColumn id="10" name="Gmail address" uniqueName="10" queryTableFieldId="10" dataDxfId="45"/>
    <tableColumn id="11" name="Profit Status" uniqueName="11" queryTableFieldId="1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ilk Glass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U1:Z118"/>
  <sheetViews>
    <sheetView workbookViewId="0">
      <selection activeCell="J19" sqref="J19"/>
    </sheetView>
  </sheetViews>
  <sheetFormatPr defaultColWidth="9" defaultRowHeight="13.2"/>
  <cols>
    <col min="1" max="22" width="8.88888888888889" style="39"/>
    <col min="23" max="23" width="17.7777777777778" style="39" customWidth="1"/>
    <col min="24" max="24" width="13.8888888888889" style="39" customWidth="1"/>
    <col min="25" max="25" width="8.88888888888889" style="39"/>
    <col min="26" max="26" width="17" style="39" customWidth="1"/>
    <col min="27" max="16384" width="8.88888888888889" style="39"/>
  </cols>
  <sheetData>
    <row r="1" ht="21" spans="21:26">
      <c r="U1" s="39">
        <v>40</v>
      </c>
      <c r="W1" s="3" t="s">
        <v>0</v>
      </c>
      <c r="X1" s="3" t="s">
        <v>1</v>
      </c>
      <c r="Z1" s="41" t="s">
        <v>2</v>
      </c>
    </row>
    <row r="2" spans="23:26">
      <c r="W2" s="5">
        <v>1500</v>
      </c>
      <c r="X2" s="40" t="str">
        <f t="shared" ref="X2:X33" si="0">REPT("|",W2/10)</f>
        <v>||||||||||||||||||||||||||||||||||||||||||||||||||||||||||||||||||||||||||||||||||||||||||||||||||||||||||||||||||||||||||||||||||||||||||||||||||||||</v>
      </c>
      <c r="Z2" s="42">
        <f>INDEX(TABLE2!$O2:$O$117,Dashboard!$U$1)</f>
        <v>400</v>
      </c>
    </row>
    <row r="3" spans="23:26">
      <c r="W3" s="5">
        <v>1500</v>
      </c>
      <c r="X3" s="40" t="str">
        <f t="shared" si="0"/>
        <v>||||||||||||||||||||||||||||||||||||||||||||||||||||||||||||||||||||||||||||||||||||||||||||||||||||||||||||||||||||||||||||||||||||||||||||||||||||||</v>
      </c>
      <c r="Z3" s="42">
        <f>INDEX(TABLE2!$O3:$O$117,Dashboard!$U$1)</f>
        <v>400</v>
      </c>
    </row>
    <row r="4" spans="23:26">
      <c r="W4" s="5">
        <v>1400</v>
      </c>
      <c r="X4" s="40" t="str">
        <f t="shared" si="0"/>
        <v>||||||||||||||||||||||||||||||||||||||||||||||||||||||||||||||||||||||||||||||||||||||||||||||||||||||||||||||||||||||||||||||||||||||||||||</v>
      </c>
      <c r="Z4" s="42">
        <f>INDEX(TABLE2!$O4:$O$117,Dashboard!$U$1)</f>
        <v>400</v>
      </c>
    </row>
    <row r="5" spans="23:26">
      <c r="W5" s="5">
        <v>1400</v>
      </c>
      <c r="X5" s="40" t="str">
        <f t="shared" si="0"/>
        <v>||||||||||||||||||||||||||||||||||||||||||||||||||||||||||||||||||||||||||||||||||||||||||||||||||||||||||||||||||||||||||||||||||||||||||||</v>
      </c>
      <c r="Z5" s="42">
        <f>INDEX(TABLE2!$O5:$O$117,Dashboard!$U$1)</f>
        <v>300</v>
      </c>
    </row>
    <row r="6" spans="23:26">
      <c r="W6" s="5">
        <v>1200</v>
      </c>
      <c r="X6" s="40" t="str">
        <f t="shared" si="0"/>
        <v>||||||||||||||||||||||||||||||||||||||||||||||||||||||||||||||||||||||||||||||||||||||||||||||||||||||||||||||||||||||||</v>
      </c>
      <c r="Z6" s="42">
        <f>INDEX(TABLE2!$O6:$O$117,Dashboard!$U$1)</f>
        <v>300</v>
      </c>
    </row>
    <row r="7" spans="23:26">
      <c r="W7" s="5">
        <v>1200</v>
      </c>
      <c r="X7" s="40" t="str">
        <f t="shared" si="0"/>
        <v>||||||||||||||||||||||||||||||||||||||||||||||||||||||||||||||||||||||||||||||||||||||||||||||||||||||||||||||||||||||||</v>
      </c>
      <c r="Z7" s="42">
        <f>INDEX(TABLE2!$O7:$O$117,Dashboard!$U$1)</f>
        <v>1400</v>
      </c>
    </row>
    <row r="8" spans="23:26">
      <c r="W8" s="5">
        <v>1100</v>
      </c>
      <c r="X8" s="40" t="str">
        <f t="shared" si="0"/>
        <v>||||||||||||||||||||||||||||||||||||||||||||||||||||||||||||||||||||||||||||||||||||||||||||||||||||||||||||||</v>
      </c>
      <c r="Z8" s="42">
        <f>INDEX(TABLE2!$O8:$O$117,Dashboard!$U$1)</f>
        <v>1400</v>
      </c>
    </row>
    <row r="9" spans="23:26">
      <c r="W9" s="5">
        <v>1100</v>
      </c>
      <c r="X9" s="40" t="str">
        <f t="shared" si="0"/>
        <v>||||||||||||||||||||||||||||||||||||||||||||||||||||||||||||||||||||||||||||||||||||||||||||||||||||||||||||||</v>
      </c>
      <c r="Z9" s="42">
        <f>INDEX(TABLE2!$O9:$O$117,Dashboard!$U$1)</f>
        <v>350</v>
      </c>
    </row>
    <row r="10" spans="23:26">
      <c r="W10" s="5">
        <v>1020</v>
      </c>
      <c r="X10" s="40" t="str">
        <f t="shared" si="0"/>
        <v>||||||||||||||||||||||||||||||||||||||||||||||||||||||||||||||||||||||||||||||||||||||||||||||||||||||</v>
      </c>
      <c r="Z10" s="42">
        <f>INDEX(TABLE2!$O10:$O$117,Dashboard!$U$1)</f>
        <v>350</v>
      </c>
    </row>
    <row r="11" spans="23:26">
      <c r="W11" s="5">
        <v>1020</v>
      </c>
      <c r="X11" s="40" t="str">
        <f t="shared" si="0"/>
        <v>||||||||||||||||||||||||||||||||||||||||||||||||||||||||||||||||||||||||||||||||||||||||||||||||||||||</v>
      </c>
      <c r="Z11" s="42">
        <f>INDEX(TABLE2!$O11:$O$117,Dashboard!$U$1)</f>
        <v>700</v>
      </c>
    </row>
    <row r="12" spans="23:26">
      <c r="W12" s="5">
        <v>1020</v>
      </c>
      <c r="X12" s="40" t="str">
        <f t="shared" si="0"/>
        <v>||||||||||||||||||||||||||||||||||||||||||||||||||||||||||||||||||||||||||||||||||||||||||||||||||||||</v>
      </c>
      <c r="Z12" s="42">
        <f>INDEX(TABLE2!$O12:$O$117,Dashboard!$U$1)</f>
        <v>700</v>
      </c>
    </row>
    <row r="13" spans="23:26">
      <c r="W13" s="5">
        <v>1020</v>
      </c>
      <c r="X13" s="40" t="str">
        <f t="shared" si="0"/>
        <v>||||||||||||||||||||||||||||||||||||||||||||||||||||||||||||||||||||||||||||||||||||||||||||||||||||||</v>
      </c>
      <c r="Z13" s="42">
        <f>INDEX(TABLE2!$O13:$O$117,Dashboard!$U$1)</f>
        <v>800</v>
      </c>
    </row>
    <row r="14" spans="23:26">
      <c r="W14" s="5">
        <v>1020</v>
      </c>
      <c r="X14" s="40" t="str">
        <f t="shared" si="0"/>
        <v>||||||||||||||||||||||||||||||||||||||||||||||||||||||||||||||||||||||||||||||||||||||||||||||||||||||</v>
      </c>
      <c r="Z14" s="42">
        <f>INDEX(TABLE2!$O14:$O$117,Dashboard!$U$1)</f>
        <v>800</v>
      </c>
    </row>
    <row r="15" spans="23:26">
      <c r="W15" s="5">
        <v>1020</v>
      </c>
      <c r="X15" s="40" t="str">
        <f t="shared" si="0"/>
        <v>||||||||||||||||||||||||||||||||||||||||||||||||||||||||||||||||||||||||||||||||||||||||||||||||||||||</v>
      </c>
      <c r="Z15" s="42">
        <f>INDEX(TABLE2!$O15:$O$117,Dashboard!$U$1)</f>
        <v>550</v>
      </c>
    </row>
    <row r="16" spans="23:26">
      <c r="W16" s="5">
        <v>1020</v>
      </c>
      <c r="X16" s="40" t="str">
        <f t="shared" si="0"/>
        <v>||||||||||||||||||||||||||||||||||||||||||||||||||||||||||||||||||||||||||||||||||||||||||||||||||||||</v>
      </c>
      <c r="Z16" s="42">
        <f>INDEX(TABLE2!$O16:$O$117,Dashboard!$U$1)</f>
        <v>550</v>
      </c>
    </row>
    <row r="17" spans="23:26">
      <c r="W17" s="5">
        <v>1020</v>
      </c>
      <c r="X17" s="40" t="str">
        <f t="shared" si="0"/>
        <v>||||||||||||||||||||||||||||||||||||||||||||||||||||||||||||||||||||||||||||||||||||||||||||||||||||||</v>
      </c>
      <c r="Z17" s="42">
        <f>INDEX(TABLE2!$O17:$O$117,Dashboard!$U$1)</f>
        <v>700</v>
      </c>
    </row>
    <row r="18" spans="23:26">
      <c r="W18" s="5">
        <v>1020</v>
      </c>
      <c r="X18" s="40" t="str">
        <f t="shared" si="0"/>
        <v>||||||||||||||||||||||||||||||||||||||||||||||||||||||||||||||||||||||||||||||||||||||||||||||||||||||</v>
      </c>
      <c r="Z18" s="42">
        <f>INDEX(TABLE2!$O18:$O$117,Dashboard!$U$1)</f>
        <v>700</v>
      </c>
    </row>
    <row r="19" spans="23:26">
      <c r="W19" s="5">
        <v>1020</v>
      </c>
      <c r="X19" s="40" t="str">
        <f t="shared" si="0"/>
        <v>||||||||||||||||||||||||||||||||||||||||||||||||||||||||||||||||||||||||||||||||||||||||||||||||||||||</v>
      </c>
      <c r="Z19" s="42"/>
    </row>
    <row r="20" spans="23:26">
      <c r="W20" s="5">
        <v>1000</v>
      </c>
      <c r="X20" s="40" t="str">
        <f t="shared" si="0"/>
        <v>||||||||||||||||||||||||||||||||||||||||||||||||||||||||||||||||||||||||||||||||||||||||||||||||||||</v>
      </c>
      <c r="Z20" s="42"/>
    </row>
    <row r="21" spans="23:26">
      <c r="W21" s="5">
        <v>1000</v>
      </c>
      <c r="X21" s="40" t="str">
        <f t="shared" si="0"/>
        <v>||||||||||||||||||||||||||||||||||||||||||||||||||||||||||||||||||||||||||||||||||||||||||||||||||||</v>
      </c>
      <c r="Z21" s="42"/>
    </row>
    <row r="22" spans="23:26">
      <c r="W22" s="5">
        <v>1000</v>
      </c>
      <c r="X22" s="40" t="str">
        <f t="shared" si="0"/>
        <v>||||||||||||||||||||||||||||||||||||||||||||||||||||||||||||||||||||||||||||||||||||||||||||||||||||</v>
      </c>
      <c r="Z22" s="42"/>
    </row>
    <row r="23" spans="23:26">
      <c r="W23" s="5">
        <v>1000</v>
      </c>
      <c r="X23" s="40" t="str">
        <f t="shared" si="0"/>
        <v>||||||||||||||||||||||||||||||||||||||||||||||||||||||||||||||||||||||||||||||||||||||||||||||||||||</v>
      </c>
      <c r="Z23" s="42"/>
    </row>
    <row r="24" spans="23:26">
      <c r="W24" s="5">
        <v>988</v>
      </c>
      <c r="X24" s="40" t="str">
        <f t="shared" si="0"/>
        <v>||||||||||||||||||||||||||||||||||||||||||||||||||||||||||||||||||||||||||||||||||||||||||||||||||</v>
      </c>
      <c r="Z24" s="42"/>
    </row>
    <row r="25" spans="23:26">
      <c r="W25" s="5">
        <v>988</v>
      </c>
      <c r="X25" s="40" t="str">
        <f t="shared" si="0"/>
        <v>||||||||||||||||||||||||||||||||||||||||||||||||||||||||||||||||||||||||||||||||||||||||||||||||||</v>
      </c>
      <c r="Z25" s="42"/>
    </row>
    <row r="26" spans="23:26">
      <c r="W26" s="5">
        <v>988</v>
      </c>
      <c r="X26" s="40" t="str">
        <f t="shared" si="0"/>
        <v>||||||||||||||||||||||||||||||||||||||||||||||||||||||||||||||||||||||||||||||||||||||||||||||||||</v>
      </c>
      <c r="Z26" s="42"/>
    </row>
    <row r="27" spans="23:26">
      <c r="W27" s="5">
        <v>988</v>
      </c>
      <c r="X27" s="40" t="str">
        <f t="shared" si="0"/>
        <v>||||||||||||||||||||||||||||||||||||||||||||||||||||||||||||||||||||||||||||||||||||||||||||||||||</v>
      </c>
      <c r="Z27" s="42"/>
    </row>
    <row r="28" spans="23:26">
      <c r="W28" s="5">
        <v>988</v>
      </c>
      <c r="X28" s="40" t="str">
        <f t="shared" si="0"/>
        <v>||||||||||||||||||||||||||||||||||||||||||||||||||||||||||||||||||||||||||||||||||||||||||||||||||</v>
      </c>
      <c r="Z28" s="42"/>
    </row>
    <row r="29" spans="23:26">
      <c r="W29" s="5">
        <v>988</v>
      </c>
      <c r="X29" s="40" t="str">
        <f t="shared" si="0"/>
        <v>||||||||||||||||||||||||||||||||||||||||||||||||||||||||||||||||||||||||||||||||||||||||||||||||||</v>
      </c>
      <c r="Z29" s="42"/>
    </row>
    <row r="30" spans="23:26">
      <c r="W30" s="5">
        <v>988</v>
      </c>
      <c r="X30" s="40" t="str">
        <f t="shared" si="0"/>
        <v>||||||||||||||||||||||||||||||||||||||||||||||||||||||||||||||||||||||||||||||||||||||||||||||||||</v>
      </c>
      <c r="Z30" s="42"/>
    </row>
    <row r="31" spans="23:26">
      <c r="W31" s="5">
        <v>988</v>
      </c>
      <c r="X31" s="40" t="str">
        <f t="shared" si="0"/>
        <v>||||||||||||||||||||||||||||||||||||||||||||||||||||||||||||||||||||||||||||||||||||||||||||||||||</v>
      </c>
      <c r="Z31" s="42"/>
    </row>
    <row r="32" spans="23:26">
      <c r="W32" s="5">
        <v>988</v>
      </c>
      <c r="X32" s="40" t="str">
        <f t="shared" si="0"/>
        <v>||||||||||||||||||||||||||||||||||||||||||||||||||||||||||||||||||||||||||||||||||||||||||||||||||</v>
      </c>
      <c r="Z32" s="42"/>
    </row>
    <row r="33" spans="23:26">
      <c r="W33" s="5">
        <v>988</v>
      </c>
      <c r="X33" s="40" t="str">
        <f t="shared" si="0"/>
        <v>||||||||||||||||||||||||||||||||||||||||||||||||||||||||||||||||||||||||||||||||||||||||||||||||||</v>
      </c>
      <c r="Z33" s="42"/>
    </row>
    <row r="34" spans="23:26">
      <c r="W34" s="5">
        <v>900</v>
      </c>
      <c r="X34" s="40" t="str">
        <f t="shared" ref="X34:X65" si="1">REPT("|",W34/10)</f>
        <v>||||||||||||||||||||||||||||||||||||||||||||||||||||||||||||||||||||||||||||||||||||||||||</v>
      </c>
      <c r="Z34" s="42"/>
    </row>
    <row r="35" spans="23:26">
      <c r="W35" s="5">
        <v>900</v>
      </c>
      <c r="X35" s="40" t="str">
        <f t="shared" si="1"/>
        <v>||||||||||||||||||||||||||||||||||||||||||||||||||||||||||||||||||||||||||||||||||||||||||</v>
      </c>
      <c r="Z35" s="42"/>
    </row>
    <row r="36" spans="23:26">
      <c r="W36" s="5">
        <v>876</v>
      </c>
      <c r="X36" s="40" t="str">
        <f t="shared" si="1"/>
        <v>|||||||||||||||||||||||||||||||||||||||||||||||||||||||||||||||||||||||||||||||||||||||</v>
      </c>
      <c r="Z36" s="42"/>
    </row>
    <row r="37" spans="23:26">
      <c r="W37" s="5">
        <v>876</v>
      </c>
      <c r="X37" s="40" t="str">
        <f t="shared" si="1"/>
        <v>|||||||||||||||||||||||||||||||||||||||||||||||||||||||||||||||||||||||||||||||||||||||</v>
      </c>
      <c r="Z37" s="42"/>
    </row>
    <row r="38" spans="23:26">
      <c r="W38" s="5">
        <v>876</v>
      </c>
      <c r="X38" s="40" t="str">
        <f t="shared" si="1"/>
        <v>|||||||||||||||||||||||||||||||||||||||||||||||||||||||||||||||||||||||||||||||||||||||</v>
      </c>
      <c r="Z38" s="42"/>
    </row>
    <row r="39" spans="23:26">
      <c r="W39" s="5">
        <v>876</v>
      </c>
      <c r="X39" s="40" t="str">
        <f t="shared" si="1"/>
        <v>|||||||||||||||||||||||||||||||||||||||||||||||||||||||||||||||||||||||||||||||||||||||</v>
      </c>
      <c r="Z39" s="42"/>
    </row>
    <row r="40" spans="23:26">
      <c r="W40" s="5">
        <v>876</v>
      </c>
      <c r="X40" s="40" t="str">
        <f t="shared" si="1"/>
        <v>|||||||||||||||||||||||||||||||||||||||||||||||||||||||||||||||||||||||||||||||||||||||</v>
      </c>
      <c r="Z40" s="42"/>
    </row>
    <row r="41" spans="23:26">
      <c r="W41" s="5">
        <v>876</v>
      </c>
      <c r="X41" s="40" t="str">
        <f t="shared" si="1"/>
        <v>|||||||||||||||||||||||||||||||||||||||||||||||||||||||||||||||||||||||||||||||||||||||</v>
      </c>
      <c r="Z41" s="42"/>
    </row>
    <row r="42" spans="23:26">
      <c r="W42" s="5">
        <v>876</v>
      </c>
      <c r="X42" s="40" t="str">
        <f t="shared" si="1"/>
        <v>|||||||||||||||||||||||||||||||||||||||||||||||||||||||||||||||||||||||||||||||||||||||</v>
      </c>
      <c r="Z42" s="42"/>
    </row>
    <row r="43" spans="23:26">
      <c r="W43" s="5">
        <v>876</v>
      </c>
      <c r="X43" s="40" t="str">
        <f t="shared" si="1"/>
        <v>|||||||||||||||||||||||||||||||||||||||||||||||||||||||||||||||||||||||||||||||||||||||</v>
      </c>
      <c r="Z43" s="42"/>
    </row>
    <row r="44" spans="23:26">
      <c r="W44" s="5">
        <v>876</v>
      </c>
      <c r="X44" s="40" t="str">
        <f t="shared" si="1"/>
        <v>|||||||||||||||||||||||||||||||||||||||||||||||||||||||||||||||||||||||||||||||||||||||</v>
      </c>
      <c r="Z44" s="42"/>
    </row>
    <row r="45" spans="23:26">
      <c r="W45" s="5">
        <v>876</v>
      </c>
      <c r="X45" s="40" t="str">
        <f t="shared" si="1"/>
        <v>|||||||||||||||||||||||||||||||||||||||||||||||||||||||||||||||||||||||||||||||||||||||</v>
      </c>
      <c r="Z45" s="42"/>
    </row>
    <row r="46" spans="23:26">
      <c r="W46" s="5">
        <v>800</v>
      </c>
      <c r="X46" s="40" t="str">
        <f t="shared" si="1"/>
        <v>||||||||||||||||||||||||||||||||||||||||||||||||||||||||||||||||||||||||||||||||</v>
      </c>
      <c r="Z46" s="42"/>
    </row>
    <row r="47" spans="23:26">
      <c r="W47" s="5">
        <v>800</v>
      </c>
      <c r="X47" s="40" t="str">
        <f t="shared" si="1"/>
        <v>||||||||||||||||||||||||||||||||||||||||||||||||||||||||||||||||||||||||||||||||</v>
      </c>
      <c r="Z47" s="42"/>
    </row>
    <row r="48" spans="23:26">
      <c r="W48" s="5">
        <v>798</v>
      </c>
      <c r="X48" s="40" t="str">
        <f t="shared" si="1"/>
        <v>|||||||||||||||||||||||||||||||||||||||||||||||||||||||||||||||||||||||||||||||</v>
      </c>
      <c r="Z48" s="42"/>
    </row>
    <row r="49" spans="23:26">
      <c r="W49" s="5">
        <v>798</v>
      </c>
      <c r="X49" s="40" t="str">
        <f t="shared" si="1"/>
        <v>|||||||||||||||||||||||||||||||||||||||||||||||||||||||||||||||||||||||||||||||</v>
      </c>
      <c r="Z49" s="42"/>
    </row>
    <row r="50" spans="23:26">
      <c r="W50" s="5">
        <v>798</v>
      </c>
      <c r="X50" s="40" t="str">
        <f t="shared" si="1"/>
        <v>|||||||||||||||||||||||||||||||||||||||||||||||||||||||||||||||||||||||||||||||</v>
      </c>
      <c r="Z50" s="42"/>
    </row>
    <row r="51" spans="23:26">
      <c r="W51" s="5">
        <v>798</v>
      </c>
      <c r="X51" s="40" t="str">
        <f t="shared" si="1"/>
        <v>|||||||||||||||||||||||||||||||||||||||||||||||||||||||||||||||||||||||||||||||</v>
      </c>
      <c r="Z51" s="42"/>
    </row>
    <row r="52" spans="23:26">
      <c r="W52" s="5">
        <v>798</v>
      </c>
      <c r="X52" s="40" t="str">
        <f t="shared" si="1"/>
        <v>|||||||||||||||||||||||||||||||||||||||||||||||||||||||||||||||||||||||||||||||</v>
      </c>
      <c r="Z52" s="42"/>
    </row>
    <row r="53" spans="23:26">
      <c r="W53" s="5">
        <v>798</v>
      </c>
      <c r="X53" s="40" t="str">
        <f t="shared" si="1"/>
        <v>|||||||||||||||||||||||||||||||||||||||||||||||||||||||||||||||||||||||||||||||</v>
      </c>
      <c r="Z53" s="42"/>
    </row>
    <row r="54" spans="23:26">
      <c r="W54" s="5">
        <v>798</v>
      </c>
      <c r="X54" s="40" t="str">
        <f t="shared" si="1"/>
        <v>|||||||||||||||||||||||||||||||||||||||||||||||||||||||||||||||||||||||||||||||</v>
      </c>
      <c r="Z54" s="42"/>
    </row>
    <row r="55" spans="23:26">
      <c r="W55" s="5">
        <v>798</v>
      </c>
      <c r="X55" s="40" t="str">
        <f t="shared" si="1"/>
        <v>|||||||||||||||||||||||||||||||||||||||||||||||||||||||||||||||||||||||||||||||</v>
      </c>
      <c r="Z55" s="42"/>
    </row>
    <row r="56" spans="23:26">
      <c r="W56" s="5">
        <v>798</v>
      </c>
      <c r="X56" s="40" t="str">
        <f t="shared" si="1"/>
        <v>|||||||||||||||||||||||||||||||||||||||||||||||||||||||||||||||||||||||||||||||</v>
      </c>
      <c r="Z56" s="42"/>
    </row>
    <row r="57" spans="23:26">
      <c r="W57" s="5">
        <v>798</v>
      </c>
      <c r="X57" s="40" t="str">
        <f t="shared" si="1"/>
        <v>|||||||||||||||||||||||||||||||||||||||||||||||||||||||||||||||||||||||||||||||</v>
      </c>
      <c r="Z57" s="42"/>
    </row>
    <row r="58" spans="23:26">
      <c r="W58" s="5">
        <v>700</v>
      </c>
      <c r="X58" s="40" t="str">
        <f t="shared" si="1"/>
        <v>||||||||||||||||||||||||||||||||||||||||||||||||||||||||||||||||||||||</v>
      </c>
      <c r="Z58" s="42"/>
    </row>
    <row r="59" spans="23:26">
      <c r="W59" s="5">
        <v>700</v>
      </c>
      <c r="X59" s="40" t="str">
        <f t="shared" si="1"/>
        <v>||||||||||||||||||||||||||||||||||||||||||||||||||||||||||||||||||||||</v>
      </c>
      <c r="Z59" s="42"/>
    </row>
    <row r="60" spans="23:26">
      <c r="W60" s="5">
        <v>700</v>
      </c>
      <c r="X60" s="40" t="str">
        <f t="shared" si="1"/>
        <v>||||||||||||||||||||||||||||||||||||||||||||||||||||||||||||||||||||||</v>
      </c>
      <c r="Z60" s="42"/>
    </row>
    <row r="61" spans="23:26">
      <c r="W61" s="5">
        <v>700</v>
      </c>
      <c r="X61" s="40" t="str">
        <f t="shared" si="1"/>
        <v>||||||||||||||||||||||||||||||||||||||||||||||||||||||||||||||||||||||</v>
      </c>
      <c r="Z61" s="42"/>
    </row>
    <row r="62" spans="23:26">
      <c r="W62" s="5">
        <v>700</v>
      </c>
      <c r="X62" s="40" t="str">
        <f t="shared" si="1"/>
        <v>||||||||||||||||||||||||||||||||||||||||||||||||||||||||||||||||||||||</v>
      </c>
      <c r="Z62" s="42"/>
    </row>
    <row r="63" spans="23:26">
      <c r="W63" s="5">
        <v>700</v>
      </c>
      <c r="X63" s="40" t="str">
        <f t="shared" si="1"/>
        <v>||||||||||||||||||||||||||||||||||||||||||||||||||||||||||||||||||||||</v>
      </c>
      <c r="Z63" s="42"/>
    </row>
    <row r="64" spans="23:26">
      <c r="W64" s="5">
        <v>700</v>
      </c>
      <c r="X64" s="40" t="str">
        <f t="shared" si="1"/>
        <v>||||||||||||||||||||||||||||||||||||||||||||||||||||||||||||||||||||||</v>
      </c>
      <c r="Z64" s="42"/>
    </row>
    <row r="65" spans="23:26">
      <c r="W65" s="5">
        <v>700</v>
      </c>
      <c r="X65" s="40" t="str">
        <f t="shared" si="1"/>
        <v>||||||||||||||||||||||||||||||||||||||||||||||||||||||||||||||||||||||</v>
      </c>
      <c r="Z65" s="42"/>
    </row>
    <row r="66" spans="23:26">
      <c r="W66" s="5">
        <v>700</v>
      </c>
      <c r="X66" s="40" t="str">
        <f t="shared" ref="X66:X97" si="2">REPT("|",W66/10)</f>
        <v>||||||||||||||||||||||||||||||||||||||||||||||||||||||||||||||||||||||</v>
      </c>
      <c r="Z66" s="42"/>
    </row>
    <row r="67" spans="23:26">
      <c r="W67" s="5">
        <v>700</v>
      </c>
      <c r="X67" s="40" t="str">
        <f t="shared" si="2"/>
        <v>||||||||||||||||||||||||||||||||||||||||||||||||||||||||||||||||||||||</v>
      </c>
      <c r="Z67" s="42"/>
    </row>
    <row r="68" spans="23:26">
      <c r="W68" s="5">
        <v>700</v>
      </c>
      <c r="X68" s="40" t="str">
        <f t="shared" si="2"/>
        <v>||||||||||||||||||||||||||||||||||||||||||||||||||||||||||||||||||||||</v>
      </c>
      <c r="Z68" s="42"/>
    </row>
    <row r="69" spans="23:26">
      <c r="W69" s="5">
        <v>700</v>
      </c>
      <c r="X69" s="40" t="str">
        <f t="shared" si="2"/>
        <v>||||||||||||||||||||||||||||||||||||||||||||||||||||||||||||||||||||||</v>
      </c>
      <c r="Z69" s="42"/>
    </row>
    <row r="70" spans="23:26">
      <c r="W70" s="5">
        <v>680</v>
      </c>
      <c r="X70" s="40" t="str">
        <f t="shared" si="2"/>
        <v>||||||||||||||||||||||||||||||||||||||||||||||||||||||||||||||||||||</v>
      </c>
      <c r="Z70" s="42"/>
    </row>
    <row r="71" spans="23:26">
      <c r="W71" s="5">
        <v>680</v>
      </c>
      <c r="X71" s="40" t="str">
        <f t="shared" si="2"/>
        <v>||||||||||||||||||||||||||||||||||||||||||||||||||||||||||||||||||||</v>
      </c>
      <c r="Z71" s="42"/>
    </row>
    <row r="72" spans="23:26">
      <c r="W72" s="5">
        <v>680</v>
      </c>
      <c r="X72" s="40" t="str">
        <f t="shared" si="2"/>
        <v>||||||||||||||||||||||||||||||||||||||||||||||||||||||||||||||||||||</v>
      </c>
      <c r="Z72" s="42"/>
    </row>
    <row r="73" spans="23:26">
      <c r="W73" s="5">
        <v>680</v>
      </c>
      <c r="X73" s="40" t="str">
        <f t="shared" si="2"/>
        <v>||||||||||||||||||||||||||||||||||||||||||||||||||||||||||||||||||||</v>
      </c>
      <c r="Z73" s="42"/>
    </row>
    <row r="74" spans="23:26">
      <c r="W74" s="5">
        <v>680</v>
      </c>
      <c r="X74" s="40" t="str">
        <f t="shared" si="2"/>
        <v>||||||||||||||||||||||||||||||||||||||||||||||||||||||||||||||||||||</v>
      </c>
      <c r="Z74" s="42"/>
    </row>
    <row r="75" spans="23:26">
      <c r="W75" s="5">
        <v>680</v>
      </c>
      <c r="X75" s="40" t="str">
        <f t="shared" si="2"/>
        <v>||||||||||||||||||||||||||||||||||||||||||||||||||||||||||||||||||||</v>
      </c>
      <c r="Z75" s="42"/>
    </row>
    <row r="76" spans="23:26">
      <c r="W76" s="5">
        <v>680</v>
      </c>
      <c r="X76" s="40" t="str">
        <f t="shared" si="2"/>
        <v>||||||||||||||||||||||||||||||||||||||||||||||||||||||||||||||||||||</v>
      </c>
      <c r="Z76" s="42"/>
    </row>
    <row r="77" spans="23:26">
      <c r="W77" s="5">
        <v>680</v>
      </c>
      <c r="X77" s="40" t="str">
        <f t="shared" si="2"/>
        <v>||||||||||||||||||||||||||||||||||||||||||||||||||||||||||||||||||||</v>
      </c>
      <c r="Z77" s="42"/>
    </row>
    <row r="78" spans="23:26">
      <c r="W78" s="5">
        <v>680</v>
      </c>
      <c r="X78" s="40" t="str">
        <f t="shared" si="2"/>
        <v>||||||||||||||||||||||||||||||||||||||||||||||||||||||||||||||||||||</v>
      </c>
      <c r="Z78" s="42"/>
    </row>
    <row r="79" spans="23:26">
      <c r="W79" s="5">
        <v>680</v>
      </c>
      <c r="X79" s="40" t="str">
        <f t="shared" si="2"/>
        <v>||||||||||||||||||||||||||||||||||||||||||||||||||||||||||||||||||||</v>
      </c>
      <c r="Z79" s="42"/>
    </row>
    <row r="80" spans="23:26">
      <c r="W80" s="5">
        <v>550</v>
      </c>
      <c r="X80" s="40" t="str">
        <f t="shared" si="2"/>
        <v>|||||||||||||||||||||||||||||||||||||||||||||||||||||||</v>
      </c>
      <c r="Z80" s="42"/>
    </row>
    <row r="81" spans="23:26">
      <c r="W81" s="5">
        <v>550</v>
      </c>
      <c r="X81" s="40" t="str">
        <f t="shared" si="2"/>
        <v>|||||||||||||||||||||||||||||||||||||||||||||||||||||||</v>
      </c>
      <c r="Z81" s="42"/>
    </row>
    <row r="82" spans="23:26">
      <c r="W82" s="5">
        <v>550</v>
      </c>
      <c r="X82" s="40" t="str">
        <f t="shared" si="2"/>
        <v>|||||||||||||||||||||||||||||||||||||||||||||||||||||||</v>
      </c>
      <c r="Z82" s="42"/>
    </row>
    <row r="83" spans="23:26">
      <c r="W83" s="5">
        <v>550</v>
      </c>
      <c r="X83" s="40" t="str">
        <f t="shared" si="2"/>
        <v>|||||||||||||||||||||||||||||||||||||||||||||||||||||||</v>
      </c>
      <c r="Z83" s="42"/>
    </row>
    <row r="84" spans="23:26">
      <c r="W84" s="5">
        <v>550</v>
      </c>
      <c r="X84" s="40" t="str">
        <f t="shared" si="2"/>
        <v>|||||||||||||||||||||||||||||||||||||||||||||||||||||||</v>
      </c>
      <c r="Z84" s="42"/>
    </row>
    <row r="85" spans="23:26">
      <c r="W85" s="5">
        <v>550</v>
      </c>
      <c r="X85" s="40" t="str">
        <f t="shared" si="2"/>
        <v>|||||||||||||||||||||||||||||||||||||||||||||||||||||||</v>
      </c>
      <c r="Z85" s="42"/>
    </row>
    <row r="86" spans="23:26">
      <c r="W86" s="5">
        <v>550</v>
      </c>
      <c r="X86" s="40" t="str">
        <f t="shared" si="2"/>
        <v>|||||||||||||||||||||||||||||||||||||||||||||||||||||||</v>
      </c>
      <c r="Z86" s="42"/>
    </row>
    <row r="87" spans="23:26">
      <c r="W87" s="5">
        <v>550</v>
      </c>
      <c r="X87" s="40" t="str">
        <f t="shared" si="2"/>
        <v>|||||||||||||||||||||||||||||||||||||||||||||||||||||||</v>
      </c>
      <c r="Z87" s="42"/>
    </row>
    <row r="88" spans="23:26">
      <c r="W88" s="5">
        <v>550</v>
      </c>
      <c r="X88" s="40" t="str">
        <f t="shared" si="2"/>
        <v>|||||||||||||||||||||||||||||||||||||||||||||||||||||||</v>
      </c>
      <c r="Z88" s="42"/>
    </row>
    <row r="89" spans="23:26">
      <c r="W89" s="5">
        <v>550</v>
      </c>
      <c r="X89" s="40" t="str">
        <f t="shared" si="2"/>
        <v>|||||||||||||||||||||||||||||||||||||||||||||||||||||||</v>
      </c>
      <c r="Z89" s="42"/>
    </row>
    <row r="90" spans="23:26">
      <c r="W90" s="5">
        <v>500</v>
      </c>
      <c r="X90" s="40" t="str">
        <f t="shared" si="2"/>
        <v>||||||||||||||||||||||||||||||||||||||||||||||||||</v>
      </c>
      <c r="Z90" s="42"/>
    </row>
    <row r="91" spans="23:26">
      <c r="W91" s="5">
        <v>500</v>
      </c>
      <c r="X91" s="40" t="str">
        <f t="shared" si="2"/>
        <v>||||||||||||||||||||||||||||||||||||||||||||||||||</v>
      </c>
      <c r="Z91" s="42"/>
    </row>
    <row r="92" spans="23:26">
      <c r="W92" s="5">
        <v>400</v>
      </c>
      <c r="X92" s="40" t="str">
        <f t="shared" si="2"/>
        <v>||||||||||||||||||||||||||||||||||||||||</v>
      </c>
      <c r="Z92" s="42"/>
    </row>
    <row r="93" spans="23:26">
      <c r="W93" s="5">
        <v>400</v>
      </c>
      <c r="X93" s="40" t="str">
        <f t="shared" si="2"/>
        <v>||||||||||||||||||||||||||||||||||||||||</v>
      </c>
      <c r="Z93" s="42"/>
    </row>
    <row r="94" spans="23:26">
      <c r="W94" s="5">
        <v>400</v>
      </c>
      <c r="X94" s="40" t="str">
        <f t="shared" si="2"/>
        <v>||||||||||||||||||||||||||||||||||||||||</v>
      </c>
      <c r="Z94" s="42"/>
    </row>
    <row r="95" spans="23:26">
      <c r="W95" s="5">
        <v>400</v>
      </c>
      <c r="X95" s="40" t="str">
        <f t="shared" si="2"/>
        <v>||||||||||||||||||||||||||||||||||||||||</v>
      </c>
      <c r="Z95" s="42"/>
    </row>
    <row r="96" spans="23:26">
      <c r="W96" s="5">
        <v>350</v>
      </c>
      <c r="X96" s="40" t="str">
        <f t="shared" si="2"/>
        <v>|||||||||||||||||||||||||||||||||||</v>
      </c>
      <c r="Z96" s="42"/>
    </row>
    <row r="97" spans="23:26">
      <c r="W97" s="5">
        <v>350</v>
      </c>
      <c r="X97" s="40" t="str">
        <f t="shared" si="2"/>
        <v>|||||||||||||||||||||||||||||||||||</v>
      </c>
      <c r="Z97" s="42"/>
    </row>
    <row r="98" spans="23:26">
      <c r="W98" s="5">
        <v>300</v>
      </c>
      <c r="X98" s="40" t="str">
        <f t="shared" ref="X98" si="3">REPT("|",W98/10)</f>
        <v>||||||||||||||||||||||||||||||</v>
      </c>
      <c r="Z98" s="42"/>
    </row>
    <row r="99" spans="23:26">
      <c r="W99" s="5">
        <v>300</v>
      </c>
      <c r="X99" s="40" t="str">
        <f t="shared" ref="X99:X112" si="4">REPT("|",W99/10)</f>
        <v>||||||||||||||||||||||||||||||</v>
      </c>
      <c r="Z99" s="42"/>
    </row>
    <row r="100" spans="23:26">
      <c r="W100" s="5">
        <v>305</v>
      </c>
      <c r="X100" s="40" t="str">
        <f t="shared" si="4"/>
        <v>||||||||||||||||||||||||||||||</v>
      </c>
      <c r="Z100" s="42"/>
    </row>
    <row r="101" spans="23:26">
      <c r="W101" s="5">
        <v>305</v>
      </c>
      <c r="X101" s="40" t="str">
        <f t="shared" si="4"/>
        <v>||||||||||||||||||||||||||||||</v>
      </c>
      <c r="Z101" s="42"/>
    </row>
    <row r="102" spans="23:26">
      <c r="W102" s="5">
        <v>200</v>
      </c>
      <c r="X102" s="40" t="str">
        <f t="shared" si="4"/>
        <v>||||||||||||||||||||</v>
      </c>
      <c r="Z102" s="42"/>
    </row>
    <row r="103" spans="23:26">
      <c r="W103" s="5">
        <v>200</v>
      </c>
      <c r="X103" s="40" t="str">
        <f t="shared" si="4"/>
        <v>||||||||||||||||||||</v>
      </c>
      <c r="Z103" s="42"/>
    </row>
    <row r="104" spans="23:26">
      <c r="W104" s="5">
        <v>180</v>
      </c>
      <c r="X104" s="40" t="str">
        <f t="shared" si="4"/>
        <v>||||||||||||||||||</v>
      </c>
      <c r="Z104" s="42"/>
    </row>
    <row r="105" spans="23:26">
      <c r="W105" s="5">
        <v>180</v>
      </c>
      <c r="X105" s="40" t="str">
        <f t="shared" si="4"/>
        <v>||||||||||||||||||</v>
      </c>
      <c r="Z105" s="42"/>
    </row>
    <row r="106" spans="23:26">
      <c r="W106" s="5">
        <v>100</v>
      </c>
      <c r="X106" s="40" t="str">
        <f t="shared" si="4"/>
        <v>||||||||||</v>
      </c>
      <c r="Z106" s="42"/>
    </row>
    <row r="107" spans="23:26">
      <c r="W107" s="5">
        <v>100</v>
      </c>
      <c r="X107" s="40" t="str">
        <f t="shared" si="4"/>
        <v>||||||||||</v>
      </c>
      <c r="Z107" s="42"/>
    </row>
    <row r="108" spans="23:26">
      <c r="W108" s="5">
        <v>100</v>
      </c>
      <c r="X108" s="40" t="str">
        <f t="shared" si="4"/>
        <v>||||||||||</v>
      </c>
      <c r="Z108" s="42"/>
    </row>
    <row r="109" spans="23:26">
      <c r="W109" s="5">
        <v>100</v>
      </c>
      <c r="X109" s="40" t="str">
        <f t="shared" si="4"/>
        <v>||||||||||</v>
      </c>
      <c r="Z109" s="42"/>
    </row>
    <row r="110" spans="23:26">
      <c r="W110" s="5">
        <v>100</v>
      </c>
      <c r="X110" s="40" t="str">
        <f t="shared" si="4"/>
        <v>||||||||||</v>
      </c>
      <c r="Z110" s="42"/>
    </row>
    <row r="111" spans="23:26">
      <c r="W111" s="5">
        <v>100</v>
      </c>
      <c r="X111" s="40" t="str">
        <f t="shared" si="4"/>
        <v>||||||||||</v>
      </c>
      <c r="Z111" s="42"/>
    </row>
    <row r="112" spans="23:26">
      <c r="W112" s="5">
        <v>100</v>
      </c>
      <c r="X112" s="40" t="str">
        <f t="shared" si="4"/>
        <v>||||||||||</v>
      </c>
      <c r="Z112" s="42"/>
    </row>
    <row r="113" spans="23:26">
      <c r="W113" s="5">
        <v>100</v>
      </c>
      <c r="X113" s="40" t="str">
        <f t="shared" ref="X113:X117" si="5">REPT("|",W113/10)</f>
        <v>||||||||||</v>
      </c>
      <c r="Z113" s="42"/>
    </row>
    <row r="114" spans="23:26">
      <c r="W114" s="5">
        <v>100</v>
      </c>
      <c r="X114" s="40" t="str">
        <f t="shared" si="5"/>
        <v>||||||||||</v>
      </c>
      <c r="Z114" s="42"/>
    </row>
    <row r="115" spans="23:26">
      <c r="W115" s="5">
        <v>100</v>
      </c>
      <c r="X115" s="40" t="str">
        <f t="shared" si="5"/>
        <v>||||||||||</v>
      </c>
      <c r="Z115" s="42"/>
    </row>
    <row r="116" spans="23:26">
      <c r="W116" s="5">
        <v>80</v>
      </c>
      <c r="X116" s="40" t="str">
        <f t="shared" si="5"/>
        <v>||||||||</v>
      </c>
      <c r="Z116" s="42"/>
    </row>
    <row r="117" spans="23:26">
      <c r="W117" s="7">
        <v>80</v>
      </c>
      <c r="X117" s="40" t="str">
        <f t="shared" si="5"/>
        <v>||||||||</v>
      </c>
      <c r="Z117" s="42"/>
    </row>
    <row r="118" spans="26:26">
      <c r="Z118" s="42"/>
    </row>
  </sheetData>
  <sortState ref="Z2:Z117">
    <sortCondition ref="Z2:Z117" descending="1"/>
  </sortState>
  <conditionalFormatting sqref="X2:X97">
    <cfRule type="expression" dxfId="0" priority="2">
      <formula>W3&gt;=700</formula>
    </cfRule>
    <cfRule type="expression" dxfId="1" priority="4">
      <formula>AND(W3&gt;=300,W3&lt;=700)</formula>
    </cfRule>
    <cfRule type="expression" dxfId="0" priority="5">
      <formula>V1048462&gt;700</formula>
    </cfRule>
    <cfRule type="expression" dxfId="2" priority="7">
      <formula>W2&lt;=300</formula>
    </cfRule>
  </conditionalFormatting>
  <conditionalFormatting sqref="X18:X97">
    <cfRule type="expression" dxfId="1" priority="6">
      <formula>AND(W2&gt;=300,W2&lt;=700)</formula>
    </cfRule>
  </conditionalFormatting>
  <conditionalFormatting sqref="X98:X117">
    <cfRule type="expression" dxfId="2" priority="1">
      <formula>W2&lt;300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name="Scroll Bar 4" r:id="rId3">
              <controlPr defaultSize="0">
                <anchor moveWithCells="1">
                  <from>
                    <xdr:col>24</xdr:col>
                    <xdr:colOff>68580</xdr:colOff>
                    <xdr:row>7</xdr:row>
                    <xdr:rowOff>121920</xdr:rowOff>
                  </from>
                  <to>
                    <xdr:col>24</xdr:col>
                    <xdr:colOff>533400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E235"/>
  <sheetViews>
    <sheetView zoomScale="96" zoomScaleNormal="96" topLeftCell="A81" workbookViewId="0">
      <selection activeCell="G94" sqref="G94"/>
    </sheetView>
  </sheetViews>
  <sheetFormatPr defaultColWidth="14.4444444444444" defaultRowHeight="15.75" customHeight="1"/>
  <cols>
    <col min="1" max="1" width="14.8888888888889" customWidth="1"/>
    <col min="3" max="3" width="15.2222222222222" customWidth="1"/>
    <col min="8" max="8" width="16.5555555555556" customWidth="1"/>
    <col min="9" max="9" width="17" customWidth="1"/>
    <col min="10" max="10" width="20.6666666666667" customWidth="1"/>
    <col min="11" max="11" width="19.2222222222222" customWidth="1"/>
    <col min="20" max="20" width="17.1111111111111" customWidth="1"/>
    <col min="21" max="21" width="19.7777777777778" customWidth="1"/>
    <col min="22" max="22" width="19.3333333333333" customWidth="1"/>
    <col min="25" max="25" width="15.5555555555556" customWidth="1"/>
    <col min="28" max="28" width="20" customWidth="1"/>
    <col min="29" max="29" width="22.2222222222222" customWidth="1"/>
    <col min="30" max="30" width="16.4444444444444" customWidth="1"/>
    <col min="31" max="31" width="17.8888888888889" customWidth="1"/>
    <col min="38" max="38" width="15" customWidth="1"/>
    <col min="40" max="40" width="19.6666666666667" customWidth="1"/>
    <col min="41" max="41" width="18.8888888888889" customWidth="1"/>
    <col min="42" max="42" width="29.1111111111111" customWidth="1"/>
    <col min="43" max="43" width="28" customWidth="1"/>
    <col min="44" max="44" width="20.3333333333333" customWidth="1"/>
    <col min="45" max="45" width="23.5555555555556" customWidth="1"/>
    <col min="46" max="46" width="17.8888888888889" customWidth="1"/>
    <col min="47" max="47" width="13.7777777777778" customWidth="1"/>
    <col min="48" max="48" width="17.2222222222222" customWidth="1"/>
    <col min="51" max="51" width="13.7777777777778" customWidth="1"/>
    <col min="52" max="52" width="17.2222222222222" customWidth="1"/>
    <col min="55" max="55" width="13.7777777777778" customWidth="1"/>
    <col min="56" max="56" width="18" customWidth="1"/>
    <col min="57" max="57" width="19.5555555555556" customWidth="1"/>
    <col min="58" max="58" width="24" customWidth="1"/>
    <col min="59" max="60" width="17.8888888888889" customWidth="1"/>
    <col min="61" max="61" width="19.7777777777778" customWidth="1"/>
  </cols>
  <sheetData>
    <row r="1" ht="14.4" customHeight="1" spans="1:62">
      <c r="A1" s="11" t="s">
        <v>3</v>
      </c>
      <c r="B1" s="11" t="s">
        <v>4</v>
      </c>
      <c r="C1" s="11" t="s">
        <v>5</v>
      </c>
      <c r="D1" s="12" t="s">
        <v>6</v>
      </c>
      <c r="E1" s="11" t="s">
        <v>7</v>
      </c>
      <c r="F1" s="11" t="s">
        <v>8</v>
      </c>
      <c r="G1" s="11" t="s">
        <v>9</v>
      </c>
      <c r="H1" s="11" t="s">
        <v>10</v>
      </c>
      <c r="I1" s="14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0</v>
      </c>
      <c r="P1" s="11" t="s">
        <v>17</v>
      </c>
      <c r="Q1" s="11" t="s">
        <v>18</v>
      </c>
      <c r="R1" s="11" t="s">
        <v>19</v>
      </c>
      <c r="S1" s="11" t="s">
        <v>20</v>
      </c>
      <c r="T1" s="11" t="s">
        <v>21</v>
      </c>
      <c r="U1" s="11" t="s">
        <v>22</v>
      </c>
      <c r="V1" s="11" t="s">
        <v>23</v>
      </c>
      <c r="W1" s="11" t="s">
        <v>24</v>
      </c>
      <c r="X1" s="11" t="s">
        <v>25</v>
      </c>
      <c r="Y1" s="11" t="s">
        <v>26</v>
      </c>
      <c r="Z1" s="11" t="s">
        <v>27</v>
      </c>
      <c r="AA1" s="11" t="s">
        <v>28</v>
      </c>
      <c r="AB1" s="11" t="s">
        <v>29</v>
      </c>
      <c r="AC1" s="11" t="s">
        <v>30</v>
      </c>
      <c r="AD1" s="11" t="s">
        <v>31</v>
      </c>
      <c r="AE1" s="11" t="s">
        <v>32</v>
      </c>
      <c r="AF1" s="11" t="s">
        <v>33</v>
      </c>
      <c r="AG1" s="11" t="s">
        <v>34</v>
      </c>
      <c r="AH1" s="11" t="s">
        <v>35</v>
      </c>
      <c r="AI1" s="11" t="s">
        <v>36</v>
      </c>
      <c r="AJ1" s="11" t="s">
        <v>37</v>
      </c>
      <c r="AK1" s="11" t="s">
        <v>38</v>
      </c>
      <c r="AL1" s="11" t="s">
        <v>39</v>
      </c>
      <c r="AM1" s="11" t="s">
        <v>40</v>
      </c>
      <c r="AN1" s="11" t="s">
        <v>41</v>
      </c>
      <c r="AO1" s="11" t="s">
        <v>42</v>
      </c>
      <c r="AP1" s="16" t="s">
        <v>43</v>
      </c>
      <c r="AQ1" s="17" t="s">
        <v>44</v>
      </c>
      <c r="AR1" s="18" t="s">
        <v>45</v>
      </c>
      <c r="AS1" s="19" t="s">
        <v>46</v>
      </c>
      <c r="AT1" s="19"/>
      <c r="AU1" s="19" t="s">
        <v>47</v>
      </c>
      <c r="AV1" s="19"/>
      <c r="AW1" s="19"/>
      <c r="AX1" s="19"/>
      <c r="AY1" s="19" t="s">
        <v>48</v>
      </c>
      <c r="AZ1" s="19"/>
      <c r="BA1" s="19"/>
      <c r="BB1" s="19"/>
      <c r="BC1" s="19" t="s">
        <v>49</v>
      </c>
      <c r="BD1" s="19"/>
      <c r="BE1" s="19" t="s">
        <v>50</v>
      </c>
      <c r="BF1" s="19" t="s">
        <v>51</v>
      </c>
      <c r="BG1" s="19" t="s">
        <v>52</v>
      </c>
      <c r="BH1" s="19"/>
      <c r="BI1" s="19" t="s">
        <v>53</v>
      </c>
      <c r="BJ1" s="19"/>
    </row>
    <row r="2" ht="13.8" customHeight="1" spans="1:83">
      <c r="A2" s="11" t="s">
        <v>54</v>
      </c>
      <c r="B2" s="11" t="s">
        <v>55</v>
      </c>
      <c r="C2" s="13" t="s">
        <v>56</v>
      </c>
      <c r="D2" s="12">
        <v>30</v>
      </c>
      <c r="E2" s="11" t="s">
        <v>57</v>
      </c>
      <c r="F2" s="11" t="s">
        <v>58</v>
      </c>
      <c r="G2" s="11">
        <v>20</v>
      </c>
      <c r="H2" s="11" t="s">
        <v>59</v>
      </c>
      <c r="I2" s="14" t="s">
        <v>60</v>
      </c>
      <c r="J2" s="11" t="s">
        <v>61</v>
      </c>
      <c r="K2" s="11" t="s">
        <v>62</v>
      </c>
      <c r="L2" s="11" t="s">
        <v>63</v>
      </c>
      <c r="M2" s="11" t="s">
        <v>64</v>
      </c>
      <c r="N2" s="15">
        <v>41336</v>
      </c>
      <c r="O2" s="11">
        <v>988</v>
      </c>
      <c r="P2" s="11">
        <v>800</v>
      </c>
      <c r="Q2" s="11">
        <v>29</v>
      </c>
      <c r="R2" s="11" t="s">
        <v>65</v>
      </c>
      <c r="S2" s="11">
        <v>110</v>
      </c>
      <c r="T2" s="11" t="s">
        <v>66</v>
      </c>
      <c r="U2" s="11" t="s">
        <v>67</v>
      </c>
      <c r="V2" s="11" t="s">
        <v>68</v>
      </c>
      <c r="W2" t="str">
        <f t="shared" ref="W2:W33" si="0">IF(O2&gt;200,"30%",0)</f>
        <v>30%</v>
      </c>
      <c r="X2" t="str">
        <f t="shared" ref="X2:X33" si="1">IF(OR(O2&gt;200,P2&gt;300),"20%",0)</f>
        <v>20%</v>
      </c>
      <c r="Y2" t="str">
        <f t="shared" ref="Y2:Y33" si="2">IF(AND(O2&gt;200,P2&gt;300),"20%",0)</f>
        <v>20%</v>
      </c>
      <c r="Z2" t="str">
        <f t="shared" ref="Z2:Z33" si="3">IF(O2&gt;800,"Great Sales",IF(O2&gt;400,"Moderate Sales","Poor Sales"))</f>
        <v>Great Sales</v>
      </c>
      <c r="AA2" t="b">
        <f t="shared" ref="AA2:AA33" si="4">NOT(W2=0)</f>
        <v>1</v>
      </c>
      <c r="AB2">
        <f t="shared" ref="AB2:AB33" si="5">IFERROR(AD2,"Error")</f>
        <v>1</v>
      </c>
      <c r="AC2" t="str">
        <f t="shared" ref="AC2:AC33" si="6">VLOOKUP(A2,$A$2:$AB$117,6,0)</f>
        <v>ATT</v>
      </c>
      <c r="AD2">
        <f>MATCH(Y2,X2:X117,0)</f>
        <v>1</v>
      </c>
      <c r="AE2" t="str">
        <f>LOOKUP(G2,G2:G117,B2:B117)</f>
        <v>Credit</v>
      </c>
      <c r="AF2" t="str">
        <f t="shared" ref="AF2:AF33" si="7">UPPER(Z2)</f>
        <v>GREAT SALES</v>
      </c>
      <c r="AG2" t="str">
        <f t="shared" ref="AG2:AG33" si="8">PROPER(AA2)</f>
        <v>True</v>
      </c>
      <c r="AH2" t="str">
        <f t="shared" ref="AH2:AH33" si="9">LEFT(I2,5)</f>
        <v>Angel</v>
      </c>
      <c r="AI2" t="str">
        <f>MID(N2,5,8)</f>
        <v>6</v>
      </c>
      <c r="AJ2" t="s">
        <v>60</v>
      </c>
      <c r="AK2">
        <f t="shared" ref="AK2:AK33" si="10">O2*(1+W2)</f>
        <v>1284.4</v>
      </c>
      <c r="AL2" t="str">
        <f t="shared" ref="AL2:AL33" si="11">TEXT(N2,"DDDD")</f>
        <v>Sunday</v>
      </c>
      <c r="AM2" s="9">
        <f t="shared" ref="AM2:AM33" si="12">EOMONTH(N2,1)+6</f>
        <v>41400</v>
      </c>
      <c r="AN2" t="str">
        <f t="shared" ref="AN2:AN33" si="13">DATEDIF(N2,AM2,"ym")&amp;"months,"&amp;DATEDIF(N2,AM2,"md")&amp;"days"</f>
        <v>2months,3days</v>
      </c>
      <c r="AP2" s="20" t="str">
        <f t="shared" ref="AP2:AP33" si="14">REPT("|",O2/10)</f>
        <v>||||||||||||||||||||||||||||||||||||||||||||||||||||||||||||||||||||||||||||||||||||||||||||||||||</v>
      </c>
      <c r="AQ2" s="17" t="s">
        <v>60</v>
      </c>
      <c r="AR2" s="21">
        <v>-11</v>
      </c>
      <c r="AS2" t="s">
        <v>69</v>
      </c>
      <c r="AT2" t="s">
        <v>70</v>
      </c>
      <c r="AU2" t="s">
        <v>69</v>
      </c>
      <c r="AV2" t="s">
        <v>71</v>
      </c>
      <c r="BC2" t="s">
        <v>69</v>
      </c>
      <c r="BD2" t="s">
        <v>70</v>
      </c>
      <c r="BE2" t="str">
        <f ca="1">OFFSET(C2,0,10)</f>
        <v>Finance</v>
      </c>
      <c r="BF2" s="11"/>
      <c r="BG2" s="19" t="s">
        <v>4</v>
      </c>
      <c r="BH2" s="19" t="s">
        <v>3</v>
      </c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</row>
    <row r="3" ht="13.8" customHeight="1" spans="1:83">
      <c r="A3" s="11" t="s">
        <v>54</v>
      </c>
      <c r="B3" s="11" t="s">
        <v>55</v>
      </c>
      <c r="C3" s="13" t="s">
        <v>56</v>
      </c>
      <c r="D3" s="12">
        <v>30</v>
      </c>
      <c r="E3" s="11" t="s">
        <v>57</v>
      </c>
      <c r="F3" s="11" t="s">
        <v>58</v>
      </c>
      <c r="G3" s="11">
        <v>20</v>
      </c>
      <c r="H3" s="11" t="s">
        <v>59</v>
      </c>
      <c r="I3" s="14" t="s">
        <v>60</v>
      </c>
      <c r="J3" s="11" t="s">
        <v>61</v>
      </c>
      <c r="K3" s="11" t="s">
        <v>62</v>
      </c>
      <c r="L3" s="11" t="s">
        <v>63</v>
      </c>
      <c r="M3" s="11" t="s">
        <v>64</v>
      </c>
      <c r="N3" s="15">
        <v>42066</v>
      </c>
      <c r="O3" s="11">
        <v>988</v>
      </c>
      <c r="P3" s="11">
        <v>800</v>
      </c>
      <c r="Q3" s="11">
        <v>29</v>
      </c>
      <c r="R3" s="11" t="s">
        <v>65</v>
      </c>
      <c r="S3" s="11">
        <v>110</v>
      </c>
      <c r="T3" s="11" t="s">
        <v>66</v>
      </c>
      <c r="U3" s="11" t="s">
        <v>67</v>
      </c>
      <c r="V3" s="11" t="s">
        <v>68</v>
      </c>
      <c r="W3" t="str">
        <f t="shared" si="0"/>
        <v>30%</v>
      </c>
      <c r="X3" t="str">
        <f t="shared" si="1"/>
        <v>20%</v>
      </c>
      <c r="Y3" t="str">
        <f t="shared" si="2"/>
        <v>20%</v>
      </c>
      <c r="Z3" t="str">
        <f t="shared" si="3"/>
        <v>Great Sales</v>
      </c>
      <c r="AA3" t="b">
        <f t="shared" si="4"/>
        <v>1</v>
      </c>
      <c r="AB3">
        <f t="shared" si="5"/>
        <v>1</v>
      </c>
      <c r="AC3" t="str">
        <f t="shared" si="6"/>
        <v>ATT</v>
      </c>
      <c r="AD3">
        <f>MATCH(Y3,X3:X118,0)</f>
        <v>1</v>
      </c>
      <c r="AE3" t="str">
        <f>LOOKUP(G3,G3:G118,B3:B118)</f>
        <v>Credit</v>
      </c>
      <c r="AF3" t="str">
        <f t="shared" si="7"/>
        <v>GREAT SALES</v>
      </c>
      <c r="AG3" t="str">
        <f t="shared" si="8"/>
        <v>True</v>
      </c>
      <c r="AH3" t="str">
        <f t="shared" si="9"/>
        <v>Angel</v>
      </c>
      <c r="AI3" t="str">
        <f t="shared" ref="AI3:AI33" si="15">MID(N3,5,8)</f>
        <v>6</v>
      </c>
      <c r="AJ3" t="s">
        <v>60</v>
      </c>
      <c r="AK3">
        <f t="shared" si="10"/>
        <v>1284.4</v>
      </c>
      <c r="AL3" t="str">
        <f t="shared" si="11"/>
        <v>Tuesday</v>
      </c>
      <c r="AM3" s="9">
        <f t="shared" si="12"/>
        <v>42130</v>
      </c>
      <c r="AN3" t="str">
        <f t="shared" si="13"/>
        <v>2months,3days</v>
      </c>
      <c r="AP3" s="20" t="str">
        <f t="shared" si="14"/>
        <v>||||||||||||||||||||||||||||||||||||||||||||||||||||||||||||||||||||||||||||||||||||||||||||||||||</v>
      </c>
      <c r="AQ3" s="17" t="s">
        <v>60</v>
      </c>
      <c r="AR3" s="22">
        <v>-13</v>
      </c>
      <c r="AS3" s="23" t="s">
        <v>58</v>
      </c>
      <c r="AT3">
        <v>15400</v>
      </c>
      <c r="AU3" s="23" t="s">
        <v>60</v>
      </c>
      <c r="AV3">
        <v>800</v>
      </c>
      <c r="AY3" t="s">
        <v>69</v>
      </c>
      <c r="AZ3" t="s">
        <v>71</v>
      </c>
      <c r="BC3" s="23" t="s">
        <v>72</v>
      </c>
      <c r="BD3" s="29">
        <v>200</v>
      </c>
      <c r="BE3" t="str">
        <f ca="1">OFFSET(C3,0,10)</f>
        <v>Finance</v>
      </c>
      <c r="BF3" s="11"/>
      <c r="BG3" s="5" t="s">
        <v>55</v>
      </c>
      <c r="BH3" s="30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</row>
    <row r="4" ht="13.8" customHeight="1" spans="1:60">
      <c r="A4" s="11" t="s">
        <v>73</v>
      </c>
      <c r="B4" s="11" t="s">
        <v>74</v>
      </c>
      <c r="C4" s="13" t="s">
        <v>75</v>
      </c>
      <c r="D4" s="12">
        <v>20</v>
      </c>
      <c r="E4" s="11" t="s">
        <v>76</v>
      </c>
      <c r="F4" s="11" t="s">
        <v>77</v>
      </c>
      <c r="G4" s="11">
        <v>11</v>
      </c>
      <c r="H4" s="11" t="s">
        <v>78</v>
      </c>
      <c r="I4" s="14" t="s">
        <v>79</v>
      </c>
      <c r="J4" s="11" t="s">
        <v>80</v>
      </c>
      <c r="K4" s="11" t="s">
        <v>62</v>
      </c>
      <c r="L4" s="11" t="s">
        <v>81</v>
      </c>
      <c r="M4" s="11" t="s">
        <v>82</v>
      </c>
      <c r="N4" s="15">
        <v>40910</v>
      </c>
      <c r="O4" s="11">
        <v>1020</v>
      </c>
      <c r="P4" s="11">
        <v>1100</v>
      </c>
      <c r="Q4" s="11">
        <v>20</v>
      </c>
      <c r="R4" s="11" t="s">
        <v>65</v>
      </c>
      <c r="S4" s="11">
        <v>110</v>
      </c>
      <c r="T4" s="11" t="s">
        <v>66</v>
      </c>
      <c r="U4" s="11" t="s">
        <v>67</v>
      </c>
      <c r="V4" s="11" t="s">
        <v>68</v>
      </c>
      <c r="W4" t="str">
        <f t="shared" si="0"/>
        <v>30%</v>
      </c>
      <c r="X4" t="str">
        <f t="shared" si="1"/>
        <v>20%</v>
      </c>
      <c r="Y4" t="str">
        <f t="shared" si="2"/>
        <v>20%</v>
      </c>
      <c r="Z4" t="str">
        <f t="shared" si="3"/>
        <v>Great Sales</v>
      </c>
      <c r="AA4" t="b">
        <f t="shared" si="4"/>
        <v>1</v>
      </c>
      <c r="AB4">
        <f t="shared" si="5"/>
        <v>1</v>
      </c>
      <c r="AC4" t="str">
        <f t="shared" si="6"/>
        <v>Powder</v>
      </c>
      <c r="AD4">
        <f t="shared" ref="AD4:AD35" si="16">MATCH(Y4,X4:X118,0)</f>
        <v>1</v>
      </c>
      <c r="AE4" t="str">
        <f>LOOKUP(G4,G4:G118,B4:B118)</f>
        <v>Cash</v>
      </c>
      <c r="AF4" t="str">
        <f t="shared" si="7"/>
        <v>GREAT SALES</v>
      </c>
      <c r="AG4" t="str">
        <f t="shared" si="8"/>
        <v>True</v>
      </c>
      <c r="AH4" t="str">
        <f t="shared" si="9"/>
        <v>Georg</v>
      </c>
      <c r="AI4" t="str">
        <f t="shared" si="15"/>
        <v>0</v>
      </c>
      <c r="AJ4" t="s">
        <v>79</v>
      </c>
      <c r="AK4">
        <f t="shared" si="10"/>
        <v>1326</v>
      </c>
      <c r="AL4" t="str">
        <f t="shared" si="11"/>
        <v>Monday</v>
      </c>
      <c r="AM4" s="9">
        <f t="shared" si="12"/>
        <v>40974</v>
      </c>
      <c r="AN4" t="str">
        <f t="shared" si="13"/>
        <v>2months,4days</v>
      </c>
      <c r="AO4" s="24">
        <v>39114</v>
      </c>
      <c r="AP4" s="20" t="str">
        <f t="shared" si="14"/>
        <v>||||||||||||||||||||||||||||||||||||||||||||||||||||||||||||||||||||||||||||||||||||||||||||||||||||||</v>
      </c>
      <c r="AQ4" s="17" t="s">
        <v>79</v>
      </c>
      <c r="AR4" s="22">
        <v>-1</v>
      </c>
      <c r="AS4" s="23" t="s">
        <v>83</v>
      </c>
      <c r="AT4">
        <v>13232</v>
      </c>
      <c r="AU4" s="23" t="s">
        <v>84</v>
      </c>
      <c r="AV4">
        <v>1100</v>
      </c>
      <c r="AY4" s="23" t="s">
        <v>85</v>
      </c>
      <c r="AZ4">
        <v>9300</v>
      </c>
      <c r="BC4" s="23" t="s">
        <v>77</v>
      </c>
      <c r="BD4" s="29">
        <v>400</v>
      </c>
      <c r="BE4" t="str">
        <f ca="1">OFFSET(C4,0,10)</f>
        <v>Accounting</v>
      </c>
      <c r="BF4" s="11"/>
      <c r="BG4" s="5" t="s">
        <v>55</v>
      </c>
      <c r="BH4" s="5"/>
    </row>
    <row r="5" customHeight="1" spans="1:60">
      <c r="A5" s="11" t="s">
        <v>73</v>
      </c>
      <c r="B5" s="11" t="s">
        <v>74</v>
      </c>
      <c r="C5" s="13" t="s">
        <v>75</v>
      </c>
      <c r="D5" s="12">
        <v>20</v>
      </c>
      <c r="E5" s="11" t="s">
        <v>76</v>
      </c>
      <c r="F5" s="11" t="s">
        <v>77</v>
      </c>
      <c r="G5" s="11">
        <v>11</v>
      </c>
      <c r="H5" s="11" t="s">
        <v>78</v>
      </c>
      <c r="I5" s="14" t="s">
        <v>79</v>
      </c>
      <c r="J5" s="11" t="s">
        <v>80</v>
      </c>
      <c r="K5" s="11" t="s">
        <v>62</v>
      </c>
      <c r="L5" s="11" t="s">
        <v>81</v>
      </c>
      <c r="M5" s="11" t="s">
        <v>82</v>
      </c>
      <c r="N5" s="15">
        <v>41641</v>
      </c>
      <c r="O5" s="11">
        <v>1020</v>
      </c>
      <c r="P5" s="11">
        <v>1100</v>
      </c>
      <c r="Q5" s="11">
        <v>20</v>
      </c>
      <c r="R5" s="11" t="s">
        <v>65</v>
      </c>
      <c r="S5" s="11">
        <v>110</v>
      </c>
      <c r="T5" s="11" t="s">
        <v>66</v>
      </c>
      <c r="U5" s="11" t="s">
        <v>67</v>
      </c>
      <c r="V5" s="11" t="s">
        <v>68</v>
      </c>
      <c r="W5" t="str">
        <f t="shared" si="0"/>
        <v>30%</v>
      </c>
      <c r="X5" t="str">
        <f t="shared" si="1"/>
        <v>20%</v>
      </c>
      <c r="Y5" t="str">
        <f t="shared" si="2"/>
        <v>20%</v>
      </c>
      <c r="Z5" t="str">
        <f t="shared" si="3"/>
        <v>Great Sales</v>
      </c>
      <c r="AA5" t="b">
        <f t="shared" si="4"/>
        <v>1</v>
      </c>
      <c r="AB5">
        <f t="shared" si="5"/>
        <v>1</v>
      </c>
      <c r="AC5" t="str">
        <f t="shared" si="6"/>
        <v>Powder</v>
      </c>
      <c r="AD5">
        <f t="shared" si="16"/>
        <v>1</v>
      </c>
      <c r="AE5" t="str">
        <f>LOOKUP(G5,G5:G119,B5:B119)</f>
        <v>Debit</v>
      </c>
      <c r="AF5" t="str">
        <f t="shared" si="7"/>
        <v>GREAT SALES</v>
      </c>
      <c r="AG5" t="str">
        <f t="shared" si="8"/>
        <v>True</v>
      </c>
      <c r="AH5" t="str">
        <f t="shared" si="9"/>
        <v>Georg</v>
      </c>
      <c r="AI5" t="str">
        <f t="shared" si="15"/>
        <v>1</v>
      </c>
      <c r="AJ5" t="s">
        <v>79</v>
      </c>
      <c r="AK5">
        <f t="shared" si="10"/>
        <v>1326</v>
      </c>
      <c r="AL5" t="str">
        <f t="shared" si="11"/>
        <v>Thursday</v>
      </c>
      <c r="AM5" s="9">
        <f t="shared" si="12"/>
        <v>41704</v>
      </c>
      <c r="AN5" t="str">
        <f t="shared" si="13"/>
        <v>2months,4days</v>
      </c>
      <c r="AP5" s="20" t="str">
        <f t="shared" si="14"/>
        <v>||||||||||||||||||||||||||||||||||||||||||||||||||||||||||||||||||||||||||||||||||||||||||||||||||||||</v>
      </c>
      <c r="AQ5" s="17" t="s">
        <v>79</v>
      </c>
      <c r="AR5" s="22">
        <v>-93</v>
      </c>
      <c r="AS5" s="23" t="s">
        <v>86</v>
      </c>
      <c r="AT5">
        <v>8618</v>
      </c>
      <c r="AU5" s="23" t="s">
        <v>87</v>
      </c>
      <c r="AV5">
        <v>1500</v>
      </c>
      <c r="AY5" s="23" t="s">
        <v>77</v>
      </c>
      <c r="AZ5">
        <v>14400</v>
      </c>
      <c r="BC5" s="23" t="s">
        <v>86</v>
      </c>
      <c r="BD5" s="29">
        <v>610</v>
      </c>
      <c r="BE5" t="str">
        <f ca="1" t="shared" ref="BE5:BE66" si="17">OFFSET(C5,0,10)</f>
        <v>Accounting</v>
      </c>
      <c r="BF5" s="11"/>
      <c r="BG5" s="5" t="s">
        <v>74</v>
      </c>
      <c r="BH5" s="5"/>
    </row>
    <row r="6" customHeight="1" spans="1:60">
      <c r="A6" s="11" t="s">
        <v>54</v>
      </c>
      <c r="B6" s="11" t="s">
        <v>88</v>
      </c>
      <c r="C6" s="13" t="s">
        <v>56</v>
      </c>
      <c r="D6" s="12">
        <v>38</v>
      </c>
      <c r="E6" s="11" t="s">
        <v>89</v>
      </c>
      <c r="F6" s="11" t="s">
        <v>72</v>
      </c>
      <c r="G6" s="11">
        <v>27</v>
      </c>
      <c r="H6" s="11" t="s">
        <v>90</v>
      </c>
      <c r="I6" s="14" t="s">
        <v>87</v>
      </c>
      <c r="J6" s="11" t="s">
        <v>91</v>
      </c>
      <c r="K6" s="11" t="s">
        <v>62</v>
      </c>
      <c r="L6" s="11" t="s">
        <v>92</v>
      </c>
      <c r="M6" s="11" t="s">
        <v>93</v>
      </c>
      <c r="N6" s="15">
        <v>41338</v>
      </c>
      <c r="O6" s="11">
        <v>876</v>
      </c>
      <c r="P6" s="11">
        <v>1500</v>
      </c>
      <c r="Q6" s="11">
        <v>36</v>
      </c>
      <c r="R6" s="11" t="s">
        <v>65</v>
      </c>
      <c r="S6" s="11">
        <v>110</v>
      </c>
      <c r="T6" s="11" t="s">
        <v>66</v>
      </c>
      <c r="U6" s="11" t="s">
        <v>67</v>
      </c>
      <c r="V6" s="11" t="s">
        <v>68</v>
      </c>
      <c r="W6" t="str">
        <f t="shared" si="0"/>
        <v>30%</v>
      </c>
      <c r="X6" t="str">
        <f t="shared" si="1"/>
        <v>20%</v>
      </c>
      <c r="Y6" t="str">
        <f t="shared" si="2"/>
        <v>20%</v>
      </c>
      <c r="Z6" t="str">
        <f t="shared" si="3"/>
        <v>Great Sales</v>
      </c>
      <c r="AA6" t="b">
        <f t="shared" si="4"/>
        <v>1</v>
      </c>
      <c r="AB6">
        <f t="shared" si="5"/>
        <v>1</v>
      </c>
      <c r="AC6" t="str">
        <f t="shared" si="6"/>
        <v>ATT</v>
      </c>
      <c r="AD6">
        <f t="shared" si="16"/>
        <v>1</v>
      </c>
      <c r="AE6" t="str">
        <f ca="1">LOOKUP(G6,G6:G121,B6:B120)</f>
        <v>Credit</v>
      </c>
      <c r="AF6" t="str">
        <f t="shared" si="7"/>
        <v>GREAT SALES</v>
      </c>
      <c r="AG6" t="str">
        <f t="shared" si="8"/>
        <v>True</v>
      </c>
      <c r="AH6" t="str">
        <f t="shared" si="9"/>
        <v>Hulk </v>
      </c>
      <c r="AI6" t="str">
        <f t="shared" si="15"/>
        <v>8</v>
      </c>
      <c r="AJ6" t="s">
        <v>94</v>
      </c>
      <c r="AK6">
        <f t="shared" si="10"/>
        <v>1138.8</v>
      </c>
      <c r="AL6" t="str">
        <f t="shared" si="11"/>
        <v>Tuesday</v>
      </c>
      <c r="AM6" s="9">
        <f t="shared" si="12"/>
        <v>41400</v>
      </c>
      <c r="AN6" t="str">
        <f t="shared" si="13"/>
        <v>2months,1days</v>
      </c>
      <c r="AP6" s="20" t="str">
        <f t="shared" si="14"/>
        <v>|||||||||||||||||||||||||||||||||||||||||||||||||||||||||||||||||||||||||||||||||||||||</v>
      </c>
      <c r="AQ6" s="17" t="s">
        <v>87</v>
      </c>
      <c r="AR6" s="22">
        <v>88</v>
      </c>
      <c r="AS6" s="23" t="s">
        <v>77</v>
      </c>
      <c r="AT6">
        <v>14268</v>
      </c>
      <c r="AU6" s="23" t="s">
        <v>95</v>
      </c>
      <c r="AV6">
        <v>1400</v>
      </c>
      <c r="AY6" s="23" t="s">
        <v>58</v>
      </c>
      <c r="AZ6">
        <v>15000</v>
      </c>
      <c r="BC6" s="23" t="s">
        <v>83</v>
      </c>
      <c r="BD6" s="29">
        <v>1300</v>
      </c>
      <c r="BE6" s="31" t="str">
        <f ca="1" t="shared" si="17"/>
        <v>Audit</v>
      </c>
      <c r="BG6" s="5" t="s">
        <v>74</v>
      </c>
      <c r="BH6" s="5"/>
    </row>
    <row r="7" customHeight="1" spans="1:60">
      <c r="A7" s="11" t="s">
        <v>54</v>
      </c>
      <c r="B7" s="11" t="s">
        <v>88</v>
      </c>
      <c r="C7" s="13" t="s">
        <v>56</v>
      </c>
      <c r="D7" s="12">
        <v>38</v>
      </c>
      <c r="E7" s="11" t="s">
        <v>89</v>
      </c>
      <c r="F7" s="11" t="s">
        <v>72</v>
      </c>
      <c r="G7" s="11">
        <v>27</v>
      </c>
      <c r="H7" s="11" t="s">
        <v>90</v>
      </c>
      <c r="I7" s="14" t="s">
        <v>87</v>
      </c>
      <c r="J7" s="11" t="s">
        <v>91</v>
      </c>
      <c r="K7" s="11" t="s">
        <v>62</v>
      </c>
      <c r="L7" s="11" t="s">
        <v>92</v>
      </c>
      <c r="M7" s="11" t="s">
        <v>93</v>
      </c>
      <c r="N7" s="15">
        <v>42068</v>
      </c>
      <c r="O7" s="11">
        <v>876</v>
      </c>
      <c r="P7" s="11">
        <v>1500</v>
      </c>
      <c r="Q7" s="11">
        <v>36</v>
      </c>
      <c r="R7" s="11" t="s">
        <v>65</v>
      </c>
      <c r="S7" s="11">
        <v>110</v>
      </c>
      <c r="T7" s="11" t="s">
        <v>66</v>
      </c>
      <c r="U7" s="11" t="s">
        <v>67</v>
      </c>
      <c r="V7" s="11" t="s">
        <v>68</v>
      </c>
      <c r="W7" t="str">
        <f t="shared" si="0"/>
        <v>30%</v>
      </c>
      <c r="X7" t="str">
        <f t="shared" si="1"/>
        <v>20%</v>
      </c>
      <c r="Y7" t="str">
        <f t="shared" si="2"/>
        <v>20%</v>
      </c>
      <c r="Z7" t="str">
        <f t="shared" si="3"/>
        <v>Great Sales</v>
      </c>
      <c r="AA7" t="b">
        <f t="shared" si="4"/>
        <v>1</v>
      </c>
      <c r="AB7">
        <f t="shared" si="5"/>
        <v>1</v>
      </c>
      <c r="AC7" t="str">
        <f t="shared" si="6"/>
        <v>ATT</v>
      </c>
      <c r="AD7">
        <f t="shared" si="16"/>
        <v>1</v>
      </c>
      <c r="AE7" t="str">
        <f t="shared" ref="AE7:AE38" si="18">LOOKUP(G7,G7:G121,B7:B121)</f>
        <v>Credit</v>
      </c>
      <c r="AF7" t="str">
        <f t="shared" si="7"/>
        <v>GREAT SALES</v>
      </c>
      <c r="AG7" t="str">
        <f t="shared" si="8"/>
        <v>True</v>
      </c>
      <c r="AH7" t="str">
        <f t="shared" si="9"/>
        <v>Hulk </v>
      </c>
      <c r="AI7" t="str">
        <f t="shared" si="15"/>
        <v>8</v>
      </c>
      <c r="AJ7" t="s">
        <v>94</v>
      </c>
      <c r="AK7">
        <f t="shared" si="10"/>
        <v>1138.8</v>
      </c>
      <c r="AL7" t="str">
        <f t="shared" si="11"/>
        <v>Thursday</v>
      </c>
      <c r="AM7" s="9">
        <f t="shared" si="12"/>
        <v>42130</v>
      </c>
      <c r="AN7" t="str">
        <f t="shared" si="13"/>
        <v>2months,1days</v>
      </c>
      <c r="AP7" s="20" t="str">
        <f t="shared" si="14"/>
        <v>|||||||||||||||||||||||||||||||||||||||||||||||||||||||||||||||||||||||||||||||||||||||</v>
      </c>
      <c r="AQ7" s="17" t="s">
        <v>87</v>
      </c>
      <c r="AR7" s="22">
        <v>67</v>
      </c>
      <c r="AS7" s="23" t="s">
        <v>85</v>
      </c>
      <c r="AT7">
        <v>13008</v>
      </c>
      <c r="AU7" s="23" t="s">
        <v>96</v>
      </c>
      <c r="AV7">
        <v>1300</v>
      </c>
      <c r="AY7" s="23" t="s">
        <v>72</v>
      </c>
      <c r="AZ7">
        <v>21900</v>
      </c>
      <c r="BC7" s="23" t="s">
        <v>85</v>
      </c>
      <c r="BD7" s="29">
        <v>2360</v>
      </c>
      <c r="BE7" t="str">
        <f ca="1" t="shared" si="17"/>
        <v>Audit</v>
      </c>
      <c r="BG7" s="5" t="s">
        <v>88</v>
      </c>
      <c r="BH7" s="5"/>
    </row>
    <row r="8" customHeight="1" spans="1:60">
      <c r="A8" s="11" t="s">
        <v>54</v>
      </c>
      <c r="B8" s="11" t="s">
        <v>55</v>
      </c>
      <c r="C8" s="13" t="s">
        <v>56</v>
      </c>
      <c r="D8" s="12">
        <v>30</v>
      </c>
      <c r="E8" s="11" t="s">
        <v>57</v>
      </c>
      <c r="F8" s="11" t="s">
        <v>58</v>
      </c>
      <c r="G8" s="11">
        <v>22</v>
      </c>
      <c r="H8" s="11" t="s">
        <v>97</v>
      </c>
      <c r="I8" s="14" t="s">
        <v>98</v>
      </c>
      <c r="J8" s="11" t="s">
        <v>61</v>
      </c>
      <c r="K8" s="11" t="s">
        <v>99</v>
      </c>
      <c r="L8" s="11" t="s">
        <v>63</v>
      </c>
      <c r="M8" s="11" t="s">
        <v>64</v>
      </c>
      <c r="N8" s="15">
        <v>40909</v>
      </c>
      <c r="O8" s="11">
        <v>876</v>
      </c>
      <c r="P8" s="11">
        <v>1000</v>
      </c>
      <c r="Q8" s="11">
        <v>31</v>
      </c>
      <c r="R8" s="11" t="s">
        <v>65</v>
      </c>
      <c r="S8" s="11">
        <v>110</v>
      </c>
      <c r="T8" s="11" t="s">
        <v>66</v>
      </c>
      <c r="U8" s="11" t="s">
        <v>67</v>
      </c>
      <c r="V8" s="11" t="s">
        <v>68</v>
      </c>
      <c r="W8" t="str">
        <f t="shared" si="0"/>
        <v>30%</v>
      </c>
      <c r="X8" t="str">
        <f t="shared" si="1"/>
        <v>20%</v>
      </c>
      <c r="Y8" t="str">
        <f t="shared" si="2"/>
        <v>20%</v>
      </c>
      <c r="Z8" t="str">
        <f t="shared" si="3"/>
        <v>Great Sales</v>
      </c>
      <c r="AA8" t="b">
        <f t="shared" si="4"/>
        <v>1</v>
      </c>
      <c r="AB8">
        <f t="shared" si="5"/>
        <v>1</v>
      </c>
      <c r="AC8" t="str">
        <f t="shared" si="6"/>
        <v>ATT</v>
      </c>
      <c r="AD8">
        <f t="shared" si="16"/>
        <v>1</v>
      </c>
      <c r="AE8" t="str">
        <f t="shared" si="18"/>
        <v>Credit</v>
      </c>
      <c r="AF8" t="str">
        <f t="shared" si="7"/>
        <v>GREAT SALES</v>
      </c>
      <c r="AG8" t="str">
        <f t="shared" si="8"/>
        <v>True</v>
      </c>
      <c r="AH8" t="str">
        <f t="shared" si="9"/>
        <v>Mark</v>
      </c>
      <c r="AI8" t="str">
        <f t="shared" si="15"/>
        <v>9</v>
      </c>
      <c r="AJ8" t="s">
        <v>98</v>
      </c>
      <c r="AK8">
        <f t="shared" si="10"/>
        <v>1138.8</v>
      </c>
      <c r="AL8" t="str">
        <f t="shared" si="11"/>
        <v>Sunday</v>
      </c>
      <c r="AM8" s="9">
        <f t="shared" si="12"/>
        <v>40974</v>
      </c>
      <c r="AN8" t="str">
        <f t="shared" si="13"/>
        <v>2months,5days</v>
      </c>
      <c r="AO8" s="25">
        <v>90.87</v>
      </c>
      <c r="AP8" s="20" t="str">
        <f t="shared" si="14"/>
        <v>|||||||||||||||||||||||||||||||||||||||||||||||||||||||||||||||||||||||||||||||||||||||</v>
      </c>
      <c r="AQ8" s="17" t="s">
        <v>98</v>
      </c>
      <c r="AR8" s="22">
        <v>57</v>
      </c>
      <c r="AS8" s="23" t="s">
        <v>72</v>
      </c>
      <c r="AT8">
        <v>17224</v>
      </c>
      <c r="AU8" s="23" t="s">
        <v>100</v>
      </c>
      <c r="AV8">
        <v>1200</v>
      </c>
      <c r="AY8" s="23" t="s">
        <v>101</v>
      </c>
      <c r="AZ8">
        <v>60600</v>
      </c>
      <c r="BC8" s="23" t="s">
        <v>101</v>
      </c>
      <c r="BD8" s="29">
        <v>4870</v>
      </c>
      <c r="BE8" t="str">
        <f ca="1" t="shared" si="17"/>
        <v>Finance</v>
      </c>
      <c r="BG8" s="5" t="s">
        <v>88</v>
      </c>
      <c r="BH8" s="5"/>
    </row>
    <row r="9" customHeight="1" spans="1:60">
      <c r="A9" s="11" t="s">
        <v>54</v>
      </c>
      <c r="B9" s="11" t="s">
        <v>55</v>
      </c>
      <c r="C9" s="13" t="s">
        <v>56</v>
      </c>
      <c r="D9" s="12">
        <v>30</v>
      </c>
      <c r="E9" s="11" t="s">
        <v>57</v>
      </c>
      <c r="F9" s="11" t="s">
        <v>58</v>
      </c>
      <c r="G9" s="11">
        <v>22</v>
      </c>
      <c r="H9" s="11" t="s">
        <v>97</v>
      </c>
      <c r="I9" s="14" t="s">
        <v>98</v>
      </c>
      <c r="J9" s="11" t="s">
        <v>61</v>
      </c>
      <c r="K9" s="11" t="s">
        <v>62</v>
      </c>
      <c r="L9" s="11" t="s">
        <v>63</v>
      </c>
      <c r="M9" s="11" t="s">
        <v>64</v>
      </c>
      <c r="N9" s="15">
        <v>41640</v>
      </c>
      <c r="O9" s="11">
        <v>876</v>
      </c>
      <c r="P9" s="11">
        <v>1000</v>
      </c>
      <c r="Q9" s="11">
        <v>31</v>
      </c>
      <c r="R9" s="11" t="s">
        <v>65</v>
      </c>
      <c r="S9" s="11">
        <v>110</v>
      </c>
      <c r="T9" s="11" t="s">
        <v>66</v>
      </c>
      <c r="U9" s="11" t="s">
        <v>67</v>
      </c>
      <c r="V9" s="11" t="s">
        <v>68</v>
      </c>
      <c r="W9" t="str">
        <f t="shared" si="0"/>
        <v>30%</v>
      </c>
      <c r="X9" t="str">
        <f t="shared" si="1"/>
        <v>20%</v>
      </c>
      <c r="Y9" t="str">
        <f t="shared" si="2"/>
        <v>20%</v>
      </c>
      <c r="Z9" t="str">
        <f t="shared" si="3"/>
        <v>Great Sales</v>
      </c>
      <c r="AA9" t="b">
        <f t="shared" si="4"/>
        <v>1</v>
      </c>
      <c r="AB9">
        <f t="shared" si="5"/>
        <v>1</v>
      </c>
      <c r="AC9" t="str">
        <f t="shared" si="6"/>
        <v>ATT</v>
      </c>
      <c r="AD9">
        <f t="shared" si="16"/>
        <v>1</v>
      </c>
      <c r="AE9" t="str">
        <f t="shared" si="18"/>
        <v>Credit</v>
      </c>
      <c r="AF9" t="str">
        <f t="shared" si="7"/>
        <v>GREAT SALES</v>
      </c>
      <c r="AG9" t="str">
        <f t="shared" si="8"/>
        <v>True</v>
      </c>
      <c r="AH9" t="str">
        <f t="shared" si="9"/>
        <v>Mark</v>
      </c>
      <c r="AI9" t="str">
        <f t="shared" si="15"/>
        <v>0</v>
      </c>
      <c r="AJ9" t="s">
        <v>98</v>
      </c>
      <c r="AK9">
        <f t="shared" si="10"/>
        <v>1138.8</v>
      </c>
      <c r="AL9" t="str">
        <f t="shared" si="11"/>
        <v>Wednesday</v>
      </c>
      <c r="AM9" s="9">
        <f t="shared" si="12"/>
        <v>41704</v>
      </c>
      <c r="AN9" t="str">
        <f t="shared" si="13"/>
        <v>2months,5days</v>
      </c>
      <c r="AP9" s="20" t="str">
        <f t="shared" si="14"/>
        <v>|||||||||||||||||||||||||||||||||||||||||||||||||||||||||||||||||||||||||||||||||||||||</v>
      </c>
      <c r="AQ9" s="17" t="s">
        <v>98</v>
      </c>
      <c r="AR9" s="22">
        <v>20</v>
      </c>
      <c r="AS9" s="23" t="s">
        <v>102</v>
      </c>
      <c r="AU9" s="23" t="s">
        <v>103</v>
      </c>
      <c r="AV9">
        <v>1600</v>
      </c>
      <c r="BE9" t="str">
        <f ca="1" t="shared" si="17"/>
        <v>Finance</v>
      </c>
      <c r="BG9" s="5" t="s">
        <v>55</v>
      </c>
      <c r="BH9" s="5"/>
    </row>
    <row r="10" customHeight="1" spans="1:60">
      <c r="A10" s="11" t="s">
        <v>73</v>
      </c>
      <c r="B10" s="11" t="s">
        <v>74</v>
      </c>
      <c r="C10" s="13" t="s">
        <v>75</v>
      </c>
      <c r="D10" s="12">
        <v>20</v>
      </c>
      <c r="E10" s="11" t="s">
        <v>76</v>
      </c>
      <c r="F10" s="11" t="s">
        <v>77</v>
      </c>
      <c r="G10" s="11">
        <v>12</v>
      </c>
      <c r="H10" s="11" t="s">
        <v>104</v>
      </c>
      <c r="I10" s="14" t="s">
        <v>105</v>
      </c>
      <c r="J10" s="11" t="s">
        <v>106</v>
      </c>
      <c r="K10" s="11" t="s">
        <v>62</v>
      </c>
      <c r="L10" s="11" t="s">
        <v>107</v>
      </c>
      <c r="M10" s="11" t="s">
        <v>82</v>
      </c>
      <c r="N10" s="15">
        <v>41335</v>
      </c>
      <c r="O10" s="11">
        <v>1200</v>
      </c>
      <c r="P10" s="11">
        <v>1200</v>
      </c>
      <c r="Q10" s="11">
        <v>21</v>
      </c>
      <c r="R10" s="11" t="s">
        <v>65</v>
      </c>
      <c r="S10" s="11">
        <v>110</v>
      </c>
      <c r="T10" s="11" t="s">
        <v>66</v>
      </c>
      <c r="U10" s="11" t="s">
        <v>67</v>
      </c>
      <c r="V10" s="11" t="s">
        <v>68</v>
      </c>
      <c r="W10" t="str">
        <f t="shared" si="0"/>
        <v>30%</v>
      </c>
      <c r="X10" t="str">
        <f t="shared" si="1"/>
        <v>20%</v>
      </c>
      <c r="Y10" t="str">
        <f t="shared" si="2"/>
        <v>20%</v>
      </c>
      <c r="Z10" t="str">
        <f t="shared" si="3"/>
        <v>Great Sales</v>
      </c>
      <c r="AA10" t="b">
        <f t="shared" si="4"/>
        <v>1</v>
      </c>
      <c r="AB10">
        <f t="shared" si="5"/>
        <v>1</v>
      </c>
      <c r="AC10" t="str">
        <f t="shared" si="6"/>
        <v>Powder</v>
      </c>
      <c r="AD10">
        <f t="shared" si="16"/>
        <v>1</v>
      </c>
      <c r="AE10" t="str">
        <f t="shared" si="18"/>
        <v>Debit</v>
      </c>
      <c r="AF10" t="str">
        <f t="shared" si="7"/>
        <v>GREAT SALES</v>
      </c>
      <c r="AG10" t="str">
        <f t="shared" si="8"/>
        <v>True</v>
      </c>
      <c r="AH10" t="str">
        <f t="shared" si="9"/>
        <v>Miche</v>
      </c>
      <c r="AI10" t="str">
        <f t="shared" si="15"/>
        <v>5</v>
      </c>
      <c r="AJ10" t="s">
        <v>105</v>
      </c>
      <c r="AK10">
        <f t="shared" si="10"/>
        <v>1560</v>
      </c>
      <c r="AL10" t="str">
        <f t="shared" si="11"/>
        <v>Saturday</v>
      </c>
      <c r="AM10" s="9">
        <f t="shared" si="12"/>
        <v>41400</v>
      </c>
      <c r="AN10" t="str">
        <f t="shared" si="13"/>
        <v>2months,4days</v>
      </c>
      <c r="AP10" s="20" t="str">
        <f t="shared" si="14"/>
        <v>||||||||||||||||||||||||||||||||||||||||||||||||||||||||||||||||||||||||||||||||||||||||||||||||||||||||||||||||||||||||</v>
      </c>
      <c r="AQ10" s="17" t="s">
        <v>105</v>
      </c>
      <c r="AR10" s="22">
        <v>10</v>
      </c>
      <c r="AS10" s="23" t="s">
        <v>101</v>
      </c>
      <c r="AT10">
        <v>81750</v>
      </c>
      <c r="AU10" s="23" t="s">
        <v>108</v>
      </c>
      <c r="AV10">
        <v>700</v>
      </c>
      <c r="BE10" s="31" t="str">
        <f ca="1" t="shared" si="17"/>
        <v>Accounting</v>
      </c>
      <c r="BG10" s="5" t="s">
        <v>55</v>
      </c>
      <c r="BH10" s="5"/>
    </row>
    <row r="11" customHeight="1" spans="1:60">
      <c r="A11" s="11" t="s">
        <v>73</v>
      </c>
      <c r="B11" s="11" t="s">
        <v>74</v>
      </c>
      <c r="C11" s="13" t="s">
        <v>75</v>
      </c>
      <c r="D11" s="12">
        <v>20</v>
      </c>
      <c r="E11" s="11" t="s">
        <v>76</v>
      </c>
      <c r="F11" s="11" t="s">
        <v>77</v>
      </c>
      <c r="G11" s="11">
        <v>12</v>
      </c>
      <c r="H11" s="11" t="s">
        <v>104</v>
      </c>
      <c r="I11" s="14" t="s">
        <v>105</v>
      </c>
      <c r="J11" s="11" t="s">
        <v>106</v>
      </c>
      <c r="K11" s="11" t="s">
        <v>62</v>
      </c>
      <c r="L11" s="11" t="s">
        <v>107</v>
      </c>
      <c r="M11" s="11" t="s">
        <v>82</v>
      </c>
      <c r="N11" s="15">
        <v>42065</v>
      </c>
      <c r="O11" s="11">
        <v>1200</v>
      </c>
      <c r="P11" s="11">
        <v>1200</v>
      </c>
      <c r="Q11" s="11">
        <v>21</v>
      </c>
      <c r="R11" s="11" t="s">
        <v>65</v>
      </c>
      <c r="S11" s="11">
        <v>110</v>
      </c>
      <c r="T11" s="11" t="s">
        <v>66</v>
      </c>
      <c r="U11" s="11" t="s">
        <v>67</v>
      </c>
      <c r="V11" s="11" t="s">
        <v>68</v>
      </c>
      <c r="W11" t="str">
        <f t="shared" si="0"/>
        <v>30%</v>
      </c>
      <c r="X11" t="str">
        <f t="shared" si="1"/>
        <v>20%</v>
      </c>
      <c r="Y11" t="str">
        <f t="shared" si="2"/>
        <v>20%</v>
      </c>
      <c r="Z11" t="str">
        <f t="shared" si="3"/>
        <v>Great Sales</v>
      </c>
      <c r="AA11" t="b">
        <f t="shared" si="4"/>
        <v>1</v>
      </c>
      <c r="AB11">
        <f t="shared" si="5"/>
        <v>1</v>
      </c>
      <c r="AC11" t="str">
        <f t="shared" si="6"/>
        <v>Powder</v>
      </c>
      <c r="AD11">
        <f t="shared" si="16"/>
        <v>1</v>
      </c>
      <c r="AE11" t="str">
        <f t="shared" si="18"/>
        <v>Cash</v>
      </c>
      <c r="AF11" t="str">
        <f t="shared" si="7"/>
        <v>GREAT SALES</v>
      </c>
      <c r="AG11" t="str">
        <f t="shared" si="8"/>
        <v>True</v>
      </c>
      <c r="AH11" t="str">
        <f t="shared" si="9"/>
        <v>Miche</v>
      </c>
      <c r="AI11" t="str">
        <f t="shared" si="15"/>
        <v>5</v>
      </c>
      <c r="AJ11" t="s">
        <v>105</v>
      </c>
      <c r="AK11">
        <f t="shared" si="10"/>
        <v>1560</v>
      </c>
      <c r="AL11" t="str">
        <f t="shared" si="11"/>
        <v>Monday</v>
      </c>
      <c r="AM11" s="9">
        <f t="shared" si="12"/>
        <v>42130</v>
      </c>
      <c r="AN11" t="str">
        <f t="shared" si="13"/>
        <v>2months,4days</v>
      </c>
      <c r="AP11" s="20" t="str">
        <f t="shared" si="14"/>
        <v>||||||||||||||||||||||||||||||||||||||||||||||||||||||||||||||||||||||||||||||||||||||||||||||||||||||||||||||||||||||||</v>
      </c>
      <c r="AQ11" s="17" t="s">
        <v>105</v>
      </c>
      <c r="AR11" s="22">
        <v>44</v>
      </c>
      <c r="AU11" s="23" t="s">
        <v>98</v>
      </c>
      <c r="AV11">
        <v>1000</v>
      </c>
      <c r="BE11" t="str">
        <f ca="1" t="shared" si="17"/>
        <v>Accounting</v>
      </c>
      <c r="BG11" s="5" t="s">
        <v>74</v>
      </c>
      <c r="BH11" s="5"/>
    </row>
    <row r="12" customHeight="1" spans="1:60">
      <c r="A12" s="11" t="s">
        <v>109</v>
      </c>
      <c r="B12" s="11" t="s">
        <v>110</v>
      </c>
      <c r="C12" s="13" t="s">
        <v>111</v>
      </c>
      <c r="D12" s="12">
        <v>10</v>
      </c>
      <c r="E12" s="11" t="s">
        <v>112</v>
      </c>
      <c r="F12" s="11" t="s">
        <v>86</v>
      </c>
      <c r="G12" s="11">
        <v>3</v>
      </c>
      <c r="H12" s="11" t="s">
        <v>113</v>
      </c>
      <c r="I12" s="14" t="s">
        <v>114</v>
      </c>
      <c r="J12" s="11" t="s">
        <v>115</v>
      </c>
      <c r="K12" s="11" t="s">
        <v>116</v>
      </c>
      <c r="L12" s="11" t="s">
        <v>117</v>
      </c>
      <c r="M12" s="11" t="s">
        <v>118</v>
      </c>
      <c r="N12" s="15">
        <v>41335</v>
      </c>
      <c r="O12" s="11">
        <v>876</v>
      </c>
      <c r="P12" s="11">
        <v>300</v>
      </c>
      <c r="Q12" s="11">
        <v>12</v>
      </c>
      <c r="R12" s="11" t="s">
        <v>119</v>
      </c>
      <c r="S12" s="11">
        <v>110</v>
      </c>
      <c r="T12" s="11" t="s">
        <v>66</v>
      </c>
      <c r="U12" s="11" t="s">
        <v>67</v>
      </c>
      <c r="V12" s="11" t="s">
        <v>68</v>
      </c>
      <c r="W12" t="str">
        <f t="shared" si="0"/>
        <v>30%</v>
      </c>
      <c r="X12" t="str">
        <f t="shared" si="1"/>
        <v>20%</v>
      </c>
      <c r="Y12">
        <f t="shared" si="2"/>
        <v>0</v>
      </c>
      <c r="Z12" t="str">
        <f t="shared" si="3"/>
        <v>Great Sales</v>
      </c>
      <c r="AA12" t="b">
        <f t="shared" si="4"/>
        <v>1</v>
      </c>
      <c r="AB12">
        <f t="shared" si="5"/>
        <v>77</v>
      </c>
      <c r="AC12" t="str">
        <f t="shared" si="6"/>
        <v>Laptop</v>
      </c>
      <c r="AD12">
        <f t="shared" si="16"/>
        <v>77</v>
      </c>
      <c r="AE12" t="str">
        <f t="shared" si="18"/>
        <v>Debit</v>
      </c>
      <c r="AF12" t="str">
        <f t="shared" si="7"/>
        <v>GREAT SALES</v>
      </c>
      <c r="AG12" t="str">
        <f t="shared" si="8"/>
        <v>True</v>
      </c>
      <c r="AH12" t="str">
        <f t="shared" si="9"/>
        <v>Saura</v>
      </c>
      <c r="AI12" t="str">
        <f t="shared" si="15"/>
        <v>5</v>
      </c>
      <c r="AJ12" t="s">
        <v>114</v>
      </c>
      <c r="AK12">
        <f t="shared" si="10"/>
        <v>1138.8</v>
      </c>
      <c r="AL12" t="str">
        <f t="shared" si="11"/>
        <v>Saturday</v>
      </c>
      <c r="AM12" s="9">
        <f t="shared" si="12"/>
        <v>41400</v>
      </c>
      <c r="AN12" t="str">
        <f t="shared" si="13"/>
        <v>2months,4days</v>
      </c>
      <c r="AP12" s="20" t="str">
        <f t="shared" si="14"/>
        <v>|||||||||||||||||||||||||||||||||||||||||||||||||||||||||||||||||||||||||||||||||||||||</v>
      </c>
      <c r="AQ12" s="17" t="s">
        <v>114</v>
      </c>
      <c r="AR12" s="22">
        <v>66</v>
      </c>
      <c r="AU12" s="23" t="s">
        <v>120</v>
      </c>
      <c r="AV12">
        <v>1500</v>
      </c>
      <c r="BC12" t="s">
        <v>69</v>
      </c>
      <c r="BD12" t="s">
        <v>70</v>
      </c>
      <c r="BE12" t="str">
        <f ca="1" t="shared" si="17"/>
        <v>Sales</v>
      </c>
      <c r="BG12" s="5" t="s">
        <v>74</v>
      </c>
      <c r="BH12" s="5"/>
    </row>
    <row r="13" customHeight="1" spans="1:60">
      <c r="A13" s="11" t="s">
        <v>109</v>
      </c>
      <c r="B13" s="11" t="s">
        <v>110</v>
      </c>
      <c r="C13" s="13" t="s">
        <v>111</v>
      </c>
      <c r="D13" s="12">
        <v>10</v>
      </c>
      <c r="E13" s="11" t="s">
        <v>112</v>
      </c>
      <c r="F13" s="11" t="s">
        <v>86</v>
      </c>
      <c r="G13" s="11">
        <v>3</v>
      </c>
      <c r="H13" s="11" t="s">
        <v>113</v>
      </c>
      <c r="I13" s="14" t="s">
        <v>114</v>
      </c>
      <c r="J13" s="11" t="s">
        <v>115</v>
      </c>
      <c r="K13" s="11" t="s">
        <v>116</v>
      </c>
      <c r="L13" s="11" t="s">
        <v>117</v>
      </c>
      <c r="M13" s="11" t="s">
        <v>118</v>
      </c>
      <c r="N13" s="15">
        <v>42065</v>
      </c>
      <c r="O13" s="11">
        <v>876</v>
      </c>
      <c r="P13" s="11">
        <v>300</v>
      </c>
      <c r="Q13" s="11">
        <v>12</v>
      </c>
      <c r="R13" s="11" t="s">
        <v>119</v>
      </c>
      <c r="S13" s="11">
        <v>110</v>
      </c>
      <c r="T13" s="11" t="s">
        <v>66</v>
      </c>
      <c r="U13" s="11" t="s">
        <v>67</v>
      </c>
      <c r="V13" s="11" t="s">
        <v>68</v>
      </c>
      <c r="W13" t="str">
        <f t="shared" si="0"/>
        <v>30%</v>
      </c>
      <c r="X13" t="str">
        <f t="shared" si="1"/>
        <v>20%</v>
      </c>
      <c r="Y13">
        <f t="shared" si="2"/>
        <v>0</v>
      </c>
      <c r="Z13" t="str">
        <f t="shared" si="3"/>
        <v>Great Sales</v>
      </c>
      <c r="AA13" t="b">
        <f t="shared" si="4"/>
        <v>1</v>
      </c>
      <c r="AB13">
        <f t="shared" si="5"/>
        <v>76</v>
      </c>
      <c r="AC13" t="str">
        <f t="shared" si="6"/>
        <v>Laptop</v>
      </c>
      <c r="AD13">
        <f t="shared" si="16"/>
        <v>76</v>
      </c>
      <c r="AE13" t="str">
        <f t="shared" si="18"/>
        <v>Debit</v>
      </c>
      <c r="AF13" t="str">
        <f t="shared" si="7"/>
        <v>GREAT SALES</v>
      </c>
      <c r="AG13" t="str">
        <f t="shared" si="8"/>
        <v>True</v>
      </c>
      <c r="AH13" t="str">
        <f t="shared" si="9"/>
        <v>Saura</v>
      </c>
      <c r="AI13" t="str">
        <f t="shared" si="15"/>
        <v>5</v>
      </c>
      <c r="AJ13" t="s">
        <v>114</v>
      </c>
      <c r="AK13">
        <f t="shared" si="10"/>
        <v>1138.8</v>
      </c>
      <c r="AL13" t="str">
        <f t="shared" si="11"/>
        <v>Monday</v>
      </c>
      <c r="AM13" s="9">
        <f t="shared" si="12"/>
        <v>42130</v>
      </c>
      <c r="AN13" t="str">
        <f t="shared" si="13"/>
        <v>2months,4days</v>
      </c>
      <c r="AP13" s="20" t="str">
        <f t="shared" si="14"/>
        <v>|||||||||||||||||||||||||||||||||||||||||||||||||||||||||||||||||||||||||||||||||||||||</v>
      </c>
      <c r="AQ13" s="17" t="s">
        <v>114</v>
      </c>
      <c r="AR13" s="22">
        <v>83</v>
      </c>
      <c r="AU13" s="23" t="s">
        <v>121</v>
      </c>
      <c r="AV13">
        <v>900</v>
      </c>
      <c r="BC13" s="23" t="s">
        <v>74</v>
      </c>
      <c r="BD13">
        <v>400</v>
      </c>
      <c r="BE13" t="str">
        <f ca="1" t="shared" si="17"/>
        <v>Sales</v>
      </c>
      <c r="BG13" s="5" t="s">
        <v>110</v>
      </c>
      <c r="BH13" s="5"/>
    </row>
    <row r="14" customHeight="1" spans="1:60">
      <c r="A14" s="11" t="s">
        <v>73</v>
      </c>
      <c r="B14" s="11" t="s">
        <v>74</v>
      </c>
      <c r="C14" s="13" t="s">
        <v>75</v>
      </c>
      <c r="D14" s="12">
        <v>20</v>
      </c>
      <c r="E14" s="11" t="s">
        <v>76</v>
      </c>
      <c r="F14" s="11" t="s">
        <v>77</v>
      </c>
      <c r="G14" s="11">
        <v>11</v>
      </c>
      <c r="H14" s="11" t="s">
        <v>78</v>
      </c>
      <c r="I14" s="14" t="s">
        <v>79</v>
      </c>
      <c r="J14" s="11" t="s">
        <v>80</v>
      </c>
      <c r="K14" s="11" t="s">
        <v>62</v>
      </c>
      <c r="L14" s="11" t="s">
        <v>81</v>
      </c>
      <c r="M14" s="11" t="s">
        <v>82</v>
      </c>
      <c r="N14" s="15">
        <v>41336</v>
      </c>
      <c r="O14" s="11">
        <v>1100</v>
      </c>
      <c r="P14" s="11">
        <v>1100</v>
      </c>
      <c r="Q14" s="11">
        <v>20</v>
      </c>
      <c r="R14" s="11" t="s">
        <v>119</v>
      </c>
      <c r="S14" s="11">
        <v>109</v>
      </c>
      <c r="T14" s="11" t="s">
        <v>122</v>
      </c>
      <c r="U14" s="11" t="s">
        <v>115</v>
      </c>
      <c r="V14" s="11" t="s">
        <v>123</v>
      </c>
      <c r="W14" t="str">
        <f t="shared" si="0"/>
        <v>30%</v>
      </c>
      <c r="X14" t="str">
        <f t="shared" si="1"/>
        <v>20%</v>
      </c>
      <c r="Y14" t="str">
        <f t="shared" si="2"/>
        <v>20%</v>
      </c>
      <c r="Z14" t="str">
        <f t="shared" si="3"/>
        <v>Great Sales</v>
      </c>
      <c r="AA14" t="b">
        <f t="shared" si="4"/>
        <v>1</v>
      </c>
      <c r="AB14">
        <f t="shared" si="5"/>
        <v>1</v>
      </c>
      <c r="AC14" t="str">
        <f t="shared" si="6"/>
        <v>Powder</v>
      </c>
      <c r="AD14">
        <f t="shared" si="16"/>
        <v>1</v>
      </c>
      <c r="AE14" t="str">
        <f t="shared" si="18"/>
        <v>Debit</v>
      </c>
      <c r="AF14" t="str">
        <f t="shared" si="7"/>
        <v>GREAT SALES</v>
      </c>
      <c r="AG14" t="str">
        <f t="shared" si="8"/>
        <v>True</v>
      </c>
      <c r="AH14" t="str">
        <f t="shared" si="9"/>
        <v>Georg</v>
      </c>
      <c r="AI14" t="str">
        <f t="shared" si="15"/>
        <v>6</v>
      </c>
      <c r="AJ14" t="s">
        <v>79</v>
      </c>
      <c r="AK14">
        <f t="shared" si="10"/>
        <v>1430</v>
      </c>
      <c r="AL14" t="str">
        <f t="shared" si="11"/>
        <v>Sunday</v>
      </c>
      <c r="AM14" s="9">
        <f t="shared" si="12"/>
        <v>41400</v>
      </c>
      <c r="AN14" t="str">
        <f t="shared" si="13"/>
        <v>2months,3days</v>
      </c>
      <c r="AP14" s="20" t="str">
        <f t="shared" si="14"/>
        <v>||||||||||||||||||||||||||||||||||||||||||||||||||||||||||||||||||||||||||||||||||||||||||||||||||||||||||||||</v>
      </c>
      <c r="AQ14" s="17" t="s">
        <v>79</v>
      </c>
      <c r="AR14" s="22">
        <v>99</v>
      </c>
      <c r="AU14" s="23" t="s">
        <v>101</v>
      </c>
      <c r="AV14">
        <v>13000</v>
      </c>
      <c r="BC14" s="23" t="s">
        <v>124</v>
      </c>
      <c r="BD14">
        <v>2360</v>
      </c>
      <c r="BE14" t="str">
        <f ca="1" t="shared" si="17"/>
        <v>Accounting</v>
      </c>
      <c r="BG14" s="5" t="s">
        <v>110</v>
      </c>
      <c r="BH14" s="5"/>
    </row>
    <row r="15" customHeight="1" spans="1:60">
      <c r="A15" s="11" t="s">
        <v>73</v>
      </c>
      <c r="B15" s="11" t="s">
        <v>74</v>
      </c>
      <c r="C15" s="13" t="s">
        <v>75</v>
      </c>
      <c r="D15" s="12">
        <v>20</v>
      </c>
      <c r="E15" s="11" t="s">
        <v>76</v>
      </c>
      <c r="F15" s="11" t="s">
        <v>77</v>
      </c>
      <c r="G15" s="11">
        <v>11</v>
      </c>
      <c r="H15" s="11" t="s">
        <v>78</v>
      </c>
      <c r="I15" s="14" t="s">
        <v>79</v>
      </c>
      <c r="J15" s="11" t="s">
        <v>80</v>
      </c>
      <c r="K15" s="11" t="s">
        <v>62</v>
      </c>
      <c r="L15" s="11" t="s">
        <v>81</v>
      </c>
      <c r="M15" s="11" t="s">
        <v>82</v>
      </c>
      <c r="N15" s="15">
        <v>42066</v>
      </c>
      <c r="O15" s="11">
        <v>1100</v>
      </c>
      <c r="P15" s="11">
        <v>1100</v>
      </c>
      <c r="Q15" s="11">
        <v>20</v>
      </c>
      <c r="R15" s="11" t="s">
        <v>119</v>
      </c>
      <c r="S15" s="11">
        <v>109</v>
      </c>
      <c r="T15" s="11" t="s">
        <v>122</v>
      </c>
      <c r="U15" s="11" t="s">
        <v>115</v>
      </c>
      <c r="V15" s="11" t="s">
        <v>123</v>
      </c>
      <c r="W15" t="str">
        <f t="shared" si="0"/>
        <v>30%</v>
      </c>
      <c r="X15" t="str">
        <f t="shared" si="1"/>
        <v>20%</v>
      </c>
      <c r="Y15" t="str">
        <f t="shared" si="2"/>
        <v>20%</v>
      </c>
      <c r="Z15" t="str">
        <f t="shared" si="3"/>
        <v>Great Sales</v>
      </c>
      <c r="AA15" t="b">
        <f t="shared" si="4"/>
        <v>1</v>
      </c>
      <c r="AB15">
        <f t="shared" si="5"/>
        <v>1</v>
      </c>
      <c r="AC15" t="str">
        <f t="shared" si="6"/>
        <v>Powder</v>
      </c>
      <c r="AD15">
        <f t="shared" si="16"/>
        <v>1</v>
      </c>
      <c r="AE15" t="str">
        <f t="shared" si="18"/>
        <v>Credit</v>
      </c>
      <c r="AF15" t="str">
        <f t="shared" si="7"/>
        <v>GREAT SALES</v>
      </c>
      <c r="AG15" t="str">
        <f t="shared" si="8"/>
        <v>True</v>
      </c>
      <c r="AH15" t="str">
        <f t="shared" si="9"/>
        <v>Georg</v>
      </c>
      <c r="AI15" t="str">
        <f t="shared" si="15"/>
        <v>6</v>
      </c>
      <c r="AJ15" t="s">
        <v>79</v>
      </c>
      <c r="AK15">
        <f t="shared" si="10"/>
        <v>1430</v>
      </c>
      <c r="AL15" t="str">
        <f t="shared" si="11"/>
        <v>Tuesday</v>
      </c>
      <c r="AM15" s="9">
        <f t="shared" si="12"/>
        <v>42130</v>
      </c>
      <c r="AN15" t="str">
        <f t="shared" si="13"/>
        <v>2months,3days</v>
      </c>
      <c r="AP15" s="20" t="str">
        <f t="shared" si="14"/>
        <v>||||||||||||||||||||||||||||||||||||||||||||||||||||||||||||||||||||||||||||||||||||||||||||||||||||||||||||||</v>
      </c>
      <c r="AQ15" s="17" t="s">
        <v>79</v>
      </c>
      <c r="AR15" s="22">
        <v>-19</v>
      </c>
      <c r="BC15" s="23" t="s">
        <v>125</v>
      </c>
      <c r="BD15">
        <v>1300</v>
      </c>
      <c r="BE15" s="31" t="str">
        <f ca="1" t="shared" si="17"/>
        <v>Accounting</v>
      </c>
      <c r="BG15" s="5" t="s">
        <v>74</v>
      </c>
      <c r="BH15" s="5"/>
    </row>
    <row r="16" customHeight="1" spans="1:60">
      <c r="A16" s="11" t="s">
        <v>54</v>
      </c>
      <c r="B16" s="11" t="s">
        <v>88</v>
      </c>
      <c r="C16" s="13" t="s">
        <v>56</v>
      </c>
      <c r="D16" s="12">
        <v>38</v>
      </c>
      <c r="E16" s="11" t="s">
        <v>89</v>
      </c>
      <c r="F16" s="11" t="s">
        <v>72</v>
      </c>
      <c r="G16" s="11">
        <v>26</v>
      </c>
      <c r="H16" s="11" t="s">
        <v>126</v>
      </c>
      <c r="I16" s="14" t="s">
        <v>95</v>
      </c>
      <c r="J16" s="11" t="s">
        <v>61</v>
      </c>
      <c r="K16" s="11" t="s">
        <v>62</v>
      </c>
      <c r="L16" s="11" t="s">
        <v>127</v>
      </c>
      <c r="M16" s="11" t="s">
        <v>93</v>
      </c>
      <c r="N16" s="15">
        <v>41337</v>
      </c>
      <c r="O16" s="11">
        <v>798</v>
      </c>
      <c r="P16" s="11">
        <v>1400</v>
      </c>
      <c r="Q16" s="11">
        <v>35</v>
      </c>
      <c r="R16" s="11" t="s">
        <v>65</v>
      </c>
      <c r="S16" s="11">
        <v>109</v>
      </c>
      <c r="T16" s="11" t="s">
        <v>122</v>
      </c>
      <c r="U16" s="11" t="s">
        <v>115</v>
      </c>
      <c r="V16" s="11" t="s">
        <v>123</v>
      </c>
      <c r="W16" t="str">
        <f t="shared" si="0"/>
        <v>30%</v>
      </c>
      <c r="X16" t="str">
        <f t="shared" si="1"/>
        <v>20%</v>
      </c>
      <c r="Y16" t="str">
        <f t="shared" si="2"/>
        <v>20%</v>
      </c>
      <c r="Z16" t="str">
        <f t="shared" si="3"/>
        <v>Moderate Sales</v>
      </c>
      <c r="AA16" t="b">
        <f t="shared" si="4"/>
        <v>1</v>
      </c>
      <c r="AB16">
        <f t="shared" si="5"/>
        <v>1</v>
      </c>
      <c r="AC16" t="str">
        <f t="shared" si="6"/>
        <v>ATT</v>
      </c>
      <c r="AD16">
        <f t="shared" si="16"/>
        <v>1</v>
      </c>
      <c r="AE16" t="str">
        <f t="shared" si="18"/>
        <v>Credit</v>
      </c>
      <c r="AF16" t="str">
        <f t="shared" si="7"/>
        <v>MODERATE SALES</v>
      </c>
      <c r="AG16" t="str">
        <f t="shared" si="8"/>
        <v>True</v>
      </c>
      <c r="AH16" t="str">
        <f t="shared" si="9"/>
        <v>Javed</v>
      </c>
      <c r="AI16" t="str">
        <f t="shared" si="15"/>
        <v>7</v>
      </c>
      <c r="AJ16" t="s">
        <v>95</v>
      </c>
      <c r="AK16">
        <f t="shared" si="10"/>
        <v>1037.4</v>
      </c>
      <c r="AL16" t="str">
        <f t="shared" si="11"/>
        <v>Monday</v>
      </c>
      <c r="AM16" s="9">
        <f t="shared" si="12"/>
        <v>41400</v>
      </c>
      <c r="AN16" t="str">
        <f t="shared" si="13"/>
        <v>2months,2days</v>
      </c>
      <c r="AP16" s="20" t="str">
        <f t="shared" si="14"/>
        <v>|||||||||||||||||||||||||||||||||||||||||||||||||||||||||||||||||||||||||||||||</v>
      </c>
      <c r="AQ16" s="17" t="s">
        <v>95</v>
      </c>
      <c r="AR16" s="22">
        <v>29</v>
      </c>
      <c r="BC16" s="23" t="s">
        <v>110</v>
      </c>
      <c r="BD16">
        <v>610</v>
      </c>
      <c r="BE16" t="str">
        <f ca="1" t="shared" si="17"/>
        <v>Audit</v>
      </c>
      <c r="BG16" s="5" t="s">
        <v>74</v>
      </c>
      <c r="BH16" s="5"/>
    </row>
    <row r="17" customHeight="1" spans="1:60">
      <c r="A17" s="11" t="s">
        <v>54</v>
      </c>
      <c r="B17" s="11" t="s">
        <v>88</v>
      </c>
      <c r="C17" s="13" t="s">
        <v>56</v>
      </c>
      <c r="D17" s="12">
        <v>38</v>
      </c>
      <c r="E17" s="11" t="s">
        <v>89</v>
      </c>
      <c r="F17" s="11" t="s">
        <v>72</v>
      </c>
      <c r="G17" s="11">
        <v>26</v>
      </c>
      <c r="H17" s="11" t="s">
        <v>126</v>
      </c>
      <c r="I17" s="14" t="s">
        <v>95</v>
      </c>
      <c r="J17" s="11" t="s">
        <v>61</v>
      </c>
      <c r="K17" s="11" t="s">
        <v>62</v>
      </c>
      <c r="L17" s="11" t="s">
        <v>127</v>
      </c>
      <c r="M17" s="11" t="s">
        <v>93</v>
      </c>
      <c r="N17" s="15">
        <v>42067</v>
      </c>
      <c r="O17" s="11">
        <v>798</v>
      </c>
      <c r="P17" s="11">
        <v>1400</v>
      </c>
      <c r="Q17" s="11">
        <v>35</v>
      </c>
      <c r="R17" s="11" t="s">
        <v>65</v>
      </c>
      <c r="S17" s="11">
        <v>109</v>
      </c>
      <c r="T17" s="11" t="s">
        <v>122</v>
      </c>
      <c r="U17" s="11" t="s">
        <v>115</v>
      </c>
      <c r="V17" s="11" t="s">
        <v>123</v>
      </c>
      <c r="W17" t="str">
        <f t="shared" si="0"/>
        <v>30%</v>
      </c>
      <c r="X17" t="str">
        <f t="shared" si="1"/>
        <v>20%</v>
      </c>
      <c r="Y17" t="str">
        <f t="shared" si="2"/>
        <v>20%</v>
      </c>
      <c r="Z17" t="str">
        <f t="shared" si="3"/>
        <v>Moderate Sales</v>
      </c>
      <c r="AA17" t="b">
        <f t="shared" si="4"/>
        <v>1</v>
      </c>
      <c r="AB17">
        <f t="shared" si="5"/>
        <v>1</v>
      </c>
      <c r="AC17" t="str">
        <f t="shared" si="6"/>
        <v>ATT</v>
      </c>
      <c r="AD17">
        <f t="shared" si="16"/>
        <v>1</v>
      </c>
      <c r="AE17" t="str">
        <f t="shared" si="18"/>
        <v>Credit</v>
      </c>
      <c r="AF17" t="str">
        <f t="shared" si="7"/>
        <v>MODERATE SALES</v>
      </c>
      <c r="AG17" t="str">
        <f t="shared" si="8"/>
        <v>True</v>
      </c>
      <c r="AH17" t="str">
        <f t="shared" si="9"/>
        <v>Javed</v>
      </c>
      <c r="AI17" t="str">
        <f t="shared" si="15"/>
        <v>7</v>
      </c>
      <c r="AJ17" t="s">
        <v>95</v>
      </c>
      <c r="AK17">
        <f t="shared" si="10"/>
        <v>1037.4</v>
      </c>
      <c r="AL17" t="str">
        <f t="shared" si="11"/>
        <v>Wednesday</v>
      </c>
      <c r="AM17" s="9">
        <f t="shared" si="12"/>
        <v>42130</v>
      </c>
      <c r="AN17" t="str">
        <f t="shared" si="13"/>
        <v>2months,2days</v>
      </c>
      <c r="AP17" s="20" t="str">
        <f t="shared" si="14"/>
        <v>|||||||||||||||||||||||||||||||||||||||||||||||||||||||||||||||||||||||||||||||</v>
      </c>
      <c r="AQ17" s="17" t="s">
        <v>95</v>
      </c>
      <c r="AR17" s="22">
        <v>-45</v>
      </c>
      <c r="BC17" s="23" t="s">
        <v>88</v>
      </c>
      <c r="BD17">
        <v>200</v>
      </c>
      <c r="BE17" t="str">
        <f ca="1" t="shared" si="17"/>
        <v>Audit</v>
      </c>
      <c r="BG17" s="5" t="s">
        <v>88</v>
      </c>
      <c r="BH17" s="5"/>
    </row>
    <row r="18" customHeight="1" spans="1:60">
      <c r="A18" s="11" t="s">
        <v>73</v>
      </c>
      <c r="B18" s="11" t="s">
        <v>124</v>
      </c>
      <c r="C18" s="13" t="s">
        <v>75</v>
      </c>
      <c r="D18" s="12">
        <v>24</v>
      </c>
      <c r="E18" s="11" t="s">
        <v>128</v>
      </c>
      <c r="F18" s="11" t="s">
        <v>85</v>
      </c>
      <c r="G18" s="11">
        <v>19</v>
      </c>
      <c r="H18" s="11" t="s">
        <v>129</v>
      </c>
      <c r="I18" s="14" t="s">
        <v>108</v>
      </c>
      <c r="J18" s="11" t="s">
        <v>130</v>
      </c>
      <c r="K18" s="11" t="s">
        <v>62</v>
      </c>
      <c r="L18" s="11" t="s">
        <v>63</v>
      </c>
      <c r="M18" s="11" t="s">
        <v>64</v>
      </c>
      <c r="N18" s="15">
        <v>41342</v>
      </c>
      <c r="O18" s="11">
        <v>1020</v>
      </c>
      <c r="P18" s="11">
        <v>700</v>
      </c>
      <c r="Q18" s="11">
        <v>28</v>
      </c>
      <c r="R18" s="11" t="s">
        <v>119</v>
      </c>
      <c r="S18" s="11">
        <v>109</v>
      </c>
      <c r="T18" s="11" t="s">
        <v>122</v>
      </c>
      <c r="U18" s="11" t="s">
        <v>115</v>
      </c>
      <c r="V18" s="11" t="s">
        <v>123</v>
      </c>
      <c r="W18" t="str">
        <f t="shared" si="0"/>
        <v>30%</v>
      </c>
      <c r="X18" t="str">
        <f t="shared" si="1"/>
        <v>20%</v>
      </c>
      <c r="Y18" t="str">
        <f t="shared" si="2"/>
        <v>20%</v>
      </c>
      <c r="Z18" t="str">
        <f t="shared" si="3"/>
        <v>Great Sales</v>
      </c>
      <c r="AA18" t="b">
        <f t="shared" si="4"/>
        <v>1</v>
      </c>
      <c r="AB18">
        <f t="shared" si="5"/>
        <v>1</v>
      </c>
      <c r="AC18" t="str">
        <f t="shared" si="6"/>
        <v>Powder</v>
      </c>
      <c r="AD18">
        <f t="shared" si="16"/>
        <v>1</v>
      </c>
      <c r="AE18" t="str">
        <f t="shared" si="18"/>
        <v>Credit</v>
      </c>
      <c r="AF18" t="str">
        <f t="shared" si="7"/>
        <v>GREAT SALES</v>
      </c>
      <c r="AG18" t="str">
        <f t="shared" si="8"/>
        <v>True</v>
      </c>
      <c r="AH18" t="str">
        <f t="shared" si="9"/>
        <v>Kenny</v>
      </c>
      <c r="AI18" t="str">
        <f t="shared" si="15"/>
        <v>2</v>
      </c>
      <c r="AJ18" t="s">
        <v>108</v>
      </c>
      <c r="AK18">
        <f t="shared" si="10"/>
        <v>1326</v>
      </c>
      <c r="AL18" t="str">
        <f t="shared" si="11"/>
        <v>Saturday</v>
      </c>
      <c r="AM18" s="9">
        <f t="shared" si="12"/>
        <v>41400</v>
      </c>
      <c r="AN18" t="str">
        <f t="shared" si="13"/>
        <v>1months,27days</v>
      </c>
      <c r="AP18" s="20" t="str">
        <f t="shared" si="14"/>
        <v>||||||||||||||||||||||||||||||||||||||||||||||||||||||||||||||||||||||||||||||||||||||||||||||||||||||</v>
      </c>
      <c r="AQ18" s="17" t="s">
        <v>108</v>
      </c>
      <c r="AR18" s="22">
        <v>-90</v>
      </c>
      <c r="BC18" s="23" t="s">
        <v>101</v>
      </c>
      <c r="BD18">
        <v>4870</v>
      </c>
      <c r="BE18" t="str">
        <f ca="1" t="shared" si="17"/>
        <v>Finance</v>
      </c>
      <c r="BG18" s="5" t="s">
        <v>88</v>
      </c>
      <c r="BH18" s="5"/>
    </row>
    <row r="19" customHeight="1" spans="1:60">
      <c r="A19" s="11" t="s">
        <v>73</v>
      </c>
      <c r="B19" s="11" t="s">
        <v>124</v>
      </c>
      <c r="C19" s="13" t="s">
        <v>75</v>
      </c>
      <c r="D19" s="12">
        <v>24</v>
      </c>
      <c r="E19" s="11" t="s">
        <v>128</v>
      </c>
      <c r="F19" s="11" t="s">
        <v>85</v>
      </c>
      <c r="G19" s="11">
        <v>19</v>
      </c>
      <c r="H19" s="11" t="s">
        <v>129</v>
      </c>
      <c r="I19" s="14" t="s">
        <v>108</v>
      </c>
      <c r="J19" s="11" t="s">
        <v>130</v>
      </c>
      <c r="K19" s="11" t="s">
        <v>62</v>
      </c>
      <c r="L19" s="11" t="s">
        <v>63</v>
      </c>
      <c r="M19" s="11" t="s">
        <v>64</v>
      </c>
      <c r="N19" s="15">
        <v>42072</v>
      </c>
      <c r="O19" s="11">
        <v>1020</v>
      </c>
      <c r="P19" s="11">
        <v>700</v>
      </c>
      <c r="Q19" s="11">
        <v>28</v>
      </c>
      <c r="R19" s="11" t="s">
        <v>119</v>
      </c>
      <c r="S19" s="11">
        <v>109</v>
      </c>
      <c r="T19" s="11" t="s">
        <v>122</v>
      </c>
      <c r="U19" s="11" t="s">
        <v>115</v>
      </c>
      <c r="V19" s="11" t="s">
        <v>123</v>
      </c>
      <c r="W19" t="str">
        <f t="shared" si="0"/>
        <v>30%</v>
      </c>
      <c r="X19" t="str">
        <f t="shared" si="1"/>
        <v>20%</v>
      </c>
      <c r="Y19" t="str">
        <f t="shared" si="2"/>
        <v>20%</v>
      </c>
      <c r="Z19" t="str">
        <f t="shared" si="3"/>
        <v>Great Sales</v>
      </c>
      <c r="AA19" t="b">
        <f t="shared" si="4"/>
        <v>1</v>
      </c>
      <c r="AB19">
        <f t="shared" si="5"/>
        <v>1</v>
      </c>
      <c r="AC19" t="str">
        <f t="shared" si="6"/>
        <v>Powder</v>
      </c>
      <c r="AD19">
        <f t="shared" si="16"/>
        <v>1</v>
      </c>
      <c r="AE19" t="str">
        <f t="shared" si="18"/>
        <v>Cash</v>
      </c>
      <c r="AF19" t="str">
        <f t="shared" si="7"/>
        <v>GREAT SALES</v>
      </c>
      <c r="AG19" t="str">
        <f t="shared" si="8"/>
        <v>True</v>
      </c>
      <c r="AH19" t="str">
        <f t="shared" si="9"/>
        <v>Kenny</v>
      </c>
      <c r="AI19" t="str">
        <f t="shared" si="15"/>
        <v>2</v>
      </c>
      <c r="AJ19" t="s">
        <v>108</v>
      </c>
      <c r="AK19">
        <f t="shared" si="10"/>
        <v>1326</v>
      </c>
      <c r="AL19" t="str">
        <f t="shared" si="11"/>
        <v>Monday</v>
      </c>
      <c r="AM19" s="9">
        <f t="shared" si="12"/>
        <v>42130</v>
      </c>
      <c r="AN19" t="str">
        <f t="shared" si="13"/>
        <v>1months,27days</v>
      </c>
      <c r="AP19" s="20" t="str">
        <f t="shared" si="14"/>
        <v>||||||||||||||||||||||||||||||||||||||||||||||||||||||||||||||||||||||||||||||||||||||||||||||||||||||</v>
      </c>
      <c r="AQ19" s="17" t="s">
        <v>108</v>
      </c>
      <c r="AR19" s="22">
        <v>-28</v>
      </c>
      <c r="BE19" t="str">
        <f ca="1" t="shared" si="17"/>
        <v>Finance</v>
      </c>
      <c r="BG19" s="5" t="s">
        <v>124</v>
      </c>
      <c r="BH19" s="5"/>
    </row>
    <row r="20" customHeight="1" spans="1:61">
      <c r="A20" s="11" t="s">
        <v>73</v>
      </c>
      <c r="B20" s="11" t="s">
        <v>74</v>
      </c>
      <c r="C20" s="13" t="s">
        <v>75</v>
      </c>
      <c r="D20" s="12">
        <v>20</v>
      </c>
      <c r="E20" s="11" t="s">
        <v>76</v>
      </c>
      <c r="F20" s="11" t="s">
        <v>77</v>
      </c>
      <c r="G20" s="11">
        <v>10</v>
      </c>
      <c r="H20" s="11" t="s">
        <v>131</v>
      </c>
      <c r="I20" s="14" t="s">
        <v>132</v>
      </c>
      <c r="J20" s="11" t="s">
        <v>133</v>
      </c>
      <c r="K20" s="11" t="s">
        <v>62</v>
      </c>
      <c r="L20" s="11" t="s">
        <v>107</v>
      </c>
      <c r="M20" s="11" t="s">
        <v>82</v>
      </c>
      <c r="N20" s="15">
        <v>40909</v>
      </c>
      <c r="O20" s="11">
        <v>876</v>
      </c>
      <c r="P20" s="11">
        <v>1000</v>
      </c>
      <c r="Q20" s="11">
        <v>19</v>
      </c>
      <c r="R20" s="11" t="s">
        <v>119</v>
      </c>
      <c r="S20" s="11">
        <v>109</v>
      </c>
      <c r="T20" s="11" t="s">
        <v>122</v>
      </c>
      <c r="U20" s="11" t="s">
        <v>115</v>
      </c>
      <c r="V20" s="11" t="s">
        <v>123</v>
      </c>
      <c r="W20" t="str">
        <f t="shared" si="0"/>
        <v>30%</v>
      </c>
      <c r="X20" t="str">
        <f t="shared" si="1"/>
        <v>20%</v>
      </c>
      <c r="Y20" t="str">
        <f t="shared" si="2"/>
        <v>20%</v>
      </c>
      <c r="Z20" t="str">
        <f t="shared" si="3"/>
        <v>Great Sales</v>
      </c>
      <c r="AA20" t="b">
        <f t="shared" si="4"/>
        <v>1</v>
      </c>
      <c r="AB20">
        <f t="shared" si="5"/>
        <v>1</v>
      </c>
      <c r="AC20" t="str">
        <f t="shared" si="6"/>
        <v>Powder</v>
      </c>
      <c r="AD20">
        <f t="shared" si="16"/>
        <v>1</v>
      </c>
      <c r="AE20" t="str">
        <f t="shared" si="18"/>
        <v>Cash</v>
      </c>
      <c r="AF20" t="str">
        <f t="shared" si="7"/>
        <v>GREAT SALES</v>
      </c>
      <c r="AG20" t="str">
        <f t="shared" si="8"/>
        <v>True</v>
      </c>
      <c r="AH20" t="str">
        <f t="shared" si="9"/>
        <v>Micha</v>
      </c>
      <c r="AI20" t="str">
        <f t="shared" si="15"/>
        <v>9</v>
      </c>
      <c r="AJ20" t="s">
        <v>132</v>
      </c>
      <c r="AK20">
        <f t="shared" si="10"/>
        <v>1138.8</v>
      </c>
      <c r="AL20" t="str">
        <f t="shared" si="11"/>
        <v>Sunday</v>
      </c>
      <c r="AM20" s="9">
        <f t="shared" si="12"/>
        <v>40974</v>
      </c>
      <c r="AN20" t="str">
        <f t="shared" si="13"/>
        <v>2months,5days</v>
      </c>
      <c r="AO20" s="24">
        <v>39417</v>
      </c>
      <c r="AP20" s="20" t="str">
        <f t="shared" si="14"/>
        <v>|||||||||||||||||||||||||||||||||||||||||||||||||||||||||||||||||||||||||||||||||||||||</v>
      </c>
      <c r="AQ20" s="17" t="s">
        <v>132</v>
      </c>
      <c r="AR20" s="22">
        <v>-93</v>
      </c>
      <c r="BE20" t="str">
        <f ca="1" t="shared" si="17"/>
        <v>Accounting</v>
      </c>
      <c r="BG20" s="5" t="s">
        <v>124</v>
      </c>
      <c r="BH20" s="5"/>
      <c r="BI20" s="31"/>
    </row>
    <row r="21" customHeight="1" spans="1:60">
      <c r="A21" s="11" t="s">
        <v>73</v>
      </c>
      <c r="B21" s="11" t="s">
        <v>74</v>
      </c>
      <c r="C21" s="13" t="s">
        <v>75</v>
      </c>
      <c r="D21" s="12">
        <v>20</v>
      </c>
      <c r="E21" s="11" t="s">
        <v>76</v>
      </c>
      <c r="F21" s="11" t="s">
        <v>77</v>
      </c>
      <c r="G21" s="11">
        <v>10</v>
      </c>
      <c r="H21" s="11" t="s">
        <v>131</v>
      </c>
      <c r="I21" s="14" t="s">
        <v>132</v>
      </c>
      <c r="J21" s="11" t="s">
        <v>133</v>
      </c>
      <c r="K21" s="11" t="s">
        <v>62</v>
      </c>
      <c r="L21" s="11" t="s">
        <v>107</v>
      </c>
      <c r="M21" s="11" t="s">
        <v>82</v>
      </c>
      <c r="N21" s="15">
        <v>41640</v>
      </c>
      <c r="O21" s="11">
        <v>876</v>
      </c>
      <c r="P21" s="11">
        <v>1000</v>
      </c>
      <c r="Q21" s="11">
        <v>19</v>
      </c>
      <c r="R21" s="11" t="s">
        <v>119</v>
      </c>
      <c r="S21" s="11">
        <v>109</v>
      </c>
      <c r="T21" s="11" t="s">
        <v>122</v>
      </c>
      <c r="U21" s="11" t="s">
        <v>115</v>
      </c>
      <c r="V21" s="11" t="s">
        <v>123</v>
      </c>
      <c r="W21" t="str">
        <f t="shared" si="0"/>
        <v>30%</v>
      </c>
      <c r="X21" t="str">
        <f t="shared" si="1"/>
        <v>20%</v>
      </c>
      <c r="Y21" t="str">
        <f t="shared" si="2"/>
        <v>20%</v>
      </c>
      <c r="Z21" t="str">
        <f t="shared" si="3"/>
        <v>Great Sales</v>
      </c>
      <c r="AA21" t="b">
        <f t="shared" si="4"/>
        <v>1</v>
      </c>
      <c r="AB21">
        <f t="shared" si="5"/>
        <v>1</v>
      </c>
      <c r="AC21" t="str">
        <f t="shared" si="6"/>
        <v>Powder</v>
      </c>
      <c r="AD21">
        <f t="shared" si="16"/>
        <v>1</v>
      </c>
      <c r="AE21" t="str">
        <f t="shared" si="18"/>
        <v>Debit</v>
      </c>
      <c r="AF21" t="str">
        <f t="shared" si="7"/>
        <v>GREAT SALES</v>
      </c>
      <c r="AG21" t="str">
        <f t="shared" si="8"/>
        <v>True</v>
      </c>
      <c r="AH21" t="str">
        <f t="shared" si="9"/>
        <v>Micha</v>
      </c>
      <c r="AI21" t="str">
        <f t="shared" si="15"/>
        <v>0</v>
      </c>
      <c r="AJ21" t="s">
        <v>132</v>
      </c>
      <c r="AK21">
        <f t="shared" si="10"/>
        <v>1138.8</v>
      </c>
      <c r="AL21" t="str">
        <f t="shared" si="11"/>
        <v>Wednesday</v>
      </c>
      <c r="AM21" s="9">
        <f t="shared" si="12"/>
        <v>41704</v>
      </c>
      <c r="AN21" t="str">
        <f t="shared" si="13"/>
        <v>2months,5days</v>
      </c>
      <c r="AP21" s="20" t="str">
        <f t="shared" si="14"/>
        <v>|||||||||||||||||||||||||||||||||||||||||||||||||||||||||||||||||||||||||||||||||||||||</v>
      </c>
      <c r="AQ21" s="17" t="s">
        <v>132</v>
      </c>
      <c r="AR21" s="22">
        <v>-929</v>
      </c>
      <c r="BE21" t="str">
        <f ca="1" t="shared" si="17"/>
        <v>Accounting</v>
      </c>
      <c r="BG21" s="5" t="s">
        <v>74</v>
      </c>
      <c r="BH21" s="32"/>
    </row>
    <row r="22" customHeight="1" spans="1:60">
      <c r="A22" s="11" t="s">
        <v>109</v>
      </c>
      <c r="B22" s="11" t="s">
        <v>110</v>
      </c>
      <c r="C22" s="13" t="s">
        <v>111</v>
      </c>
      <c r="D22" s="12">
        <v>10</v>
      </c>
      <c r="E22" s="11" t="s">
        <v>112</v>
      </c>
      <c r="F22" s="11" t="s">
        <v>86</v>
      </c>
      <c r="G22" s="11">
        <v>2</v>
      </c>
      <c r="H22" s="11" t="s">
        <v>134</v>
      </c>
      <c r="I22" s="14" t="s">
        <v>135</v>
      </c>
      <c r="J22" s="11" t="s">
        <v>115</v>
      </c>
      <c r="K22" s="11" t="s">
        <v>116</v>
      </c>
      <c r="L22" s="11" t="s">
        <v>117</v>
      </c>
      <c r="M22" s="11" t="s">
        <v>118</v>
      </c>
      <c r="N22" s="15">
        <v>41336</v>
      </c>
      <c r="O22" s="11">
        <v>798</v>
      </c>
      <c r="P22" s="11">
        <v>200</v>
      </c>
      <c r="Q22" s="11">
        <v>11</v>
      </c>
      <c r="R22" s="11" t="s">
        <v>65</v>
      </c>
      <c r="S22" s="11">
        <v>109</v>
      </c>
      <c r="T22" s="11" t="s">
        <v>122</v>
      </c>
      <c r="U22" s="11" t="s">
        <v>115</v>
      </c>
      <c r="V22" s="11" t="s">
        <v>123</v>
      </c>
      <c r="W22" t="str">
        <f t="shared" si="0"/>
        <v>30%</v>
      </c>
      <c r="X22" t="str">
        <f t="shared" si="1"/>
        <v>20%</v>
      </c>
      <c r="Y22">
        <f t="shared" si="2"/>
        <v>0</v>
      </c>
      <c r="Z22" t="str">
        <f t="shared" si="3"/>
        <v>Moderate Sales</v>
      </c>
      <c r="AA22" t="b">
        <f t="shared" si="4"/>
        <v>1</v>
      </c>
      <c r="AB22">
        <f t="shared" si="5"/>
        <v>67</v>
      </c>
      <c r="AC22" t="str">
        <f t="shared" si="6"/>
        <v>Laptop</v>
      </c>
      <c r="AD22">
        <f t="shared" si="16"/>
        <v>67</v>
      </c>
      <c r="AE22" t="str">
        <f t="shared" si="18"/>
        <v>Debit</v>
      </c>
      <c r="AF22" t="str">
        <f t="shared" si="7"/>
        <v>MODERATE SALES</v>
      </c>
      <c r="AG22" t="str">
        <f t="shared" si="8"/>
        <v>True</v>
      </c>
      <c r="AH22" t="str">
        <f t="shared" si="9"/>
        <v>Rahul</v>
      </c>
      <c r="AI22" t="str">
        <f t="shared" si="15"/>
        <v>6</v>
      </c>
      <c r="AJ22" t="s">
        <v>136</v>
      </c>
      <c r="AK22">
        <f t="shared" si="10"/>
        <v>1037.4</v>
      </c>
      <c r="AL22" t="str">
        <f t="shared" si="11"/>
        <v>Sunday</v>
      </c>
      <c r="AM22" s="9">
        <f t="shared" si="12"/>
        <v>41400</v>
      </c>
      <c r="AN22" t="str">
        <f t="shared" si="13"/>
        <v>2months,3days</v>
      </c>
      <c r="AP22" s="20" t="str">
        <f t="shared" si="14"/>
        <v>|||||||||||||||||||||||||||||||||||||||||||||||||||||||||||||||||||||||||||||||</v>
      </c>
      <c r="AQ22" s="17" t="s">
        <v>135</v>
      </c>
      <c r="AR22" s="22">
        <v>92</v>
      </c>
      <c r="BC22" t="s">
        <v>69</v>
      </c>
      <c r="BD22" t="s">
        <v>70</v>
      </c>
      <c r="BE22" t="str">
        <f ca="1" t="shared" si="17"/>
        <v>Sales</v>
      </c>
      <c r="BG22" s="5" t="s">
        <v>74</v>
      </c>
      <c r="BH22" s="5"/>
    </row>
    <row r="23" customHeight="1" spans="1:60">
      <c r="A23" s="11" t="s">
        <v>109</v>
      </c>
      <c r="B23" s="11" t="s">
        <v>110</v>
      </c>
      <c r="C23" s="13" t="s">
        <v>111</v>
      </c>
      <c r="D23" s="12">
        <v>10</v>
      </c>
      <c r="E23" s="11" t="s">
        <v>112</v>
      </c>
      <c r="F23" s="11" t="s">
        <v>86</v>
      </c>
      <c r="G23" s="11">
        <v>2</v>
      </c>
      <c r="H23" s="11" t="s">
        <v>134</v>
      </c>
      <c r="I23" s="14" t="s">
        <v>135</v>
      </c>
      <c r="J23" s="11" t="s">
        <v>115</v>
      </c>
      <c r="K23" s="11" t="s">
        <v>116</v>
      </c>
      <c r="L23" s="11" t="s">
        <v>117</v>
      </c>
      <c r="M23" s="11" t="s">
        <v>118</v>
      </c>
      <c r="N23" s="15">
        <v>42066</v>
      </c>
      <c r="O23" s="11">
        <v>798</v>
      </c>
      <c r="P23" s="11">
        <v>200</v>
      </c>
      <c r="Q23" s="11">
        <v>11</v>
      </c>
      <c r="R23" s="11" t="s">
        <v>65</v>
      </c>
      <c r="S23" s="11">
        <v>109</v>
      </c>
      <c r="T23" s="11" t="s">
        <v>122</v>
      </c>
      <c r="U23" s="11" t="s">
        <v>115</v>
      </c>
      <c r="V23" s="11" t="s">
        <v>123</v>
      </c>
      <c r="W23" t="str">
        <f t="shared" si="0"/>
        <v>30%</v>
      </c>
      <c r="X23" t="str">
        <f t="shared" si="1"/>
        <v>20%</v>
      </c>
      <c r="Y23">
        <f t="shared" si="2"/>
        <v>0</v>
      </c>
      <c r="Z23" t="str">
        <f t="shared" si="3"/>
        <v>Moderate Sales</v>
      </c>
      <c r="AA23" t="b">
        <f t="shared" si="4"/>
        <v>1</v>
      </c>
      <c r="AB23">
        <f t="shared" si="5"/>
        <v>66</v>
      </c>
      <c r="AC23" t="str">
        <f t="shared" si="6"/>
        <v>Laptop</v>
      </c>
      <c r="AD23">
        <f t="shared" si="16"/>
        <v>66</v>
      </c>
      <c r="AE23" t="str">
        <f t="shared" si="18"/>
        <v>Debit</v>
      </c>
      <c r="AF23" t="str">
        <f t="shared" si="7"/>
        <v>MODERATE SALES</v>
      </c>
      <c r="AG23" t="str">
        <f t="shared" si="8"/>
        <v>True</v>
      </c>
      <c r="AH23" t="str">
        <f t="shared" si="9"/>
        <v>Rahul</v>
      </c>
      <c r="AI23" t="str">
        <f t="shared" si="15"/>
        <v>6</v>
      </c>
      <c r="AJ23" t="s">
        <v>136</v>
      </c>
      <c r="AK23">
        <f t="shared" si="10"/>
        <v>1037.4</v>
      </c>
      <c r="AL23" t="str">
        <f t="shared" si="11"/>
        <v>Tuesday</v>
      </c>
      <c r="AM23" s="9">
        <f t="shared" si="12"/>
        <v>42130</v>
      </c>
      <c r="AN23" t="str">
        <f t="shared" si="13"/>
        <v>2months,3days</v>
      </c>
      <c r="AP23" s="20" t="str">
        <f t="shared" si="14"/>
        <v>|||||||||||||||||||||||||||||||||||||||||||||||||||||||||||||||||||||||||||||||</v>
      </c>
      <c r="AQ23" s="17" t="s">
        <v>135</v>
      </c>
      <c r="AR23" s="22">
        <v>-56</v>
      </c>
      <c r="BC23" s="23" t="s">
        <v>137</v>
      </c>
      <c r="BD23" s="29">
        <v>780</v>
      </c>
      <c r="BE23" t="str">
        <f ca="1" t="shared" si="17"/>
        <v>Sales</v>
      </c>
      <c r="BG23" s="5" t="s">
        <v>110</v>
      </c>
      <c r="BH23" s="5"/>
    </row>
    <row r="24" customHeight="1" spans="1:60">
      <c r="A24" s="11" t="s">
        <v>54</v>
      </c>
      <c r="B24" s="11" t="s">
        <v>55</v>
      </c>
      <c r="C24" s="13" t="s">
        <v>56</v>
      </c>
      <c r="D24" s="12">
        <v>30</v>
      </c>
      <c r="E24" s="11" t="s">
        <v>57</v>
      </c>
      <c r="F24" s="11" t="s">
        <v>58</v>
      </c>
      <c r="G24" s="11">
        <v>21</v>
      </c>
      <c r="H24" s="11" t="s">
        <v>138</v>
      </c>
      <c r="I24" s="14" t="s">
        <v>121</v>
      </c>
      <c r="J24" s="11" t="s">
        <v>130</v>
      </c>
      <c r="K24" s="11" t="s">
        <v>99</v>
      </c>
      <c r="L24" s="11" t="s">
        <v>63</v>
      </c>
      <c r="M24" s="11" t="s">
        <v>64</v>
      </c>
      <c r="N24" s="15">
        <v>40911</v>
      </c>
      <c r="O24" s="11">
        <v>798</v>
      </c>
      <c r="P24" s="11">
        <v>900</v>
      </c>
      <c r="Q24" s="11">
        <v>30</v>
      </c>
      <c r="R24" s="11" t="s">
        <v>119</v>
      </c>
      <c r="S24" s="11">
        <v>109</v>
      </c>
      <c r="T24" s="11" t="s">
        <v>122</v>
      </c>
      <c r="U24" s="11" t="s">
        <v>115</v>
      </c>
      <c r="V24" s="11" t="s">
        <v>123</v>
      </c>
      <c r="W24" t="str">
        <f t="shared" si="0"/>
        <v>30%</v>
      </c>
      <c r="X24" t="str">
        <f t="shared" si="1"/>
        <v>20%</v>
      </c>
      <c r="Y24" t="str">
        <f t="shared" si="2"/>
        <v>20%</v>
      </c>
      <c r="Z24" t="str">
        <f t="shared" si="3"/>
        <v>Moderate Sales</v>
      </c>
      <c r="AA24" t="b">
        <f t="shared" si="4"/>
        <v>1</v>
      </c>
      <c r="AB24">
        <f t="shared" si="5"/>
        <v>1</v>
      </c>
      <c r="AC24" t="str">
        <f t="shared" si="6"/>
        <v>ATT</v>
      </c>
      <c r="AD24">
        <f t="shared" si="16"/>
        <v>1</v>
      </c>
      <c r="AE24" t="str">
        <f t="shared" si="18"/>
        <v>Credit</v>
      </c>
      <c r="AF24" t="str">
        <f t="shared" si="7"/>
        <v>MODERATE SALES</v>
      </c>
      <c r="AG24" t="str">
        <f t="shared" si="8"/>
        <v>True</v>
      </c>
      <c r="AH24" t="str">
        <f t="shared" si="9"/>
        <v>Simon</v>
      </c>
      <c r="AI24" t="str">
        <f t="shared" si="15"/>
        <v>1</v>
      </c>
      <c r="AJ24" t="s">
        <v>121</v>
      </c>
      <c r="AK24">
        <f t="shared" si="10"/>
        <v>1037.4</v>
      </c>
      <c r="AL24" t="str">
        <f t="shared" si="11"/>
        <v>Tuesday</v>
      </c>
      <c r="AM24" s="9">
        <f t="shared" si="12"/>
        <v>40974</v>
      </c>
      <c r="AN24" t="str">
        <f t="shared" si="13"/>
        <v>2months,3days</v>
      </c>
      <c r="AO24" s="25">
        <v>50.67</v>
      </c>
      <c r="AP24" s="20" t="str">
        <f t="shared" si="14"/>
        <v>|||||||||||||||||||||||||||||||||||||||||||||||||||||||||||||||||||||||||||||||</v>
      </c>
      <c r="AQ24" s="17" t="s">
        <v>121</v>
      </c>
      <c r="AR24" s="22">
        <v>90</v>
      </c>
      <c r="BC24" s="23" t="s">
        <v>139</v>
      </c>
      <c r="BD24" s="29">
        <v>780</v>
      </c>
      <c r="BE24" t="str">
        <f ca="1" t="shared" si="17"/>
        <v>Finance</v>
      </c>
      <c r="BG24" s="5" t="s">
        <v>110</v>
      </c>
      <c r="BH24" s="5"/>
    </row>
    <row r="25" customHeight="1" spans="1:60">
      <c r="A25" s="11" t="s">
        <v>54</v>
      </c>
      <c r="B25" s="11" t="s">
        <v>55</v>
      </c>
      <c r="C25" s="13" t="s">
        <v>56</v>
      </c>
      <c r="D25" s="12">
        <v>30</v>
      </c>
      <c r="E25" s="11" t="s">
        <v>57</v>
      </c>
      <c r="F25" s="11" t="s">
        <v>58</v>
      </c>
      <c r="G25" s="11">
        <v>21</v>
      </c>
      <c r="H25" s="11" t="s">
        <v>138</v>
      </c>
      <c r="I25" s="14" t="s">
        <v>121</v>
      </c>
      <c r="J25" s="11" t="s">
        <v>130</v>
      </c>
      <c r="K25" s="11" t="s">
        <v>62</v>
      </c>
      <c r="L25" s="11" t="s">
        <v>63</v>
      </c>
      <c r="M25" s="11" t="s">
        <v>64</v>
      </c>
      <c r="N25" s="15">
        <v>41642</v>
      </c>
      <c r="O25" s="11">
        <v>798</v>
      </c>
      <c r="P25" s="11">
        <v>900</v>
      </c>
      <c r="Q25" s="11">
        <v>30</v>
      </c>
      <c r="R25" s="11" t="s">
        <v>119</v>
      </c>
      <c r="S25" s="11">
        <v>109</v>
      </c>
      <c r="T25" s="11" t="s">
        <v>122</v>
      </c>
      <c r="U25" s="11" t="s">
        <v>115</v>
      </c>
      <c r="V25" s="11" t="s">
        <v>123</v>
      </c>
      <c r="W25" t="str">
        <f t="shared" si="0"/>
        <v>30%</v>
      </c>
      <c r="X25" t="str">
        <f t="shared" si="1"/>
        <v>20%</v>
      </c>
      <c r="Y25" t="str">
        <f t="shared" si="2"/>
        <v>20%</v>
      </c>
      <c r="Z25" t="str">
        <f t="shared" si="3"/>
        <v>Moderate Sales</v>
      </c>
      <c r="AA25" t="b">
        <f t="shared" si="4"/>
        <v>1</v>
      </c>
      <c r="AB25">
        <f t="shared" si="5"/>
        <v>1</v>
      </c>
      <c r="AC25" t="str">
        <f t="shared" si="6"/>
        <v>ATT</v>
      </c>
      <c r="AD25">
        <f t="shared" si="16"/>
        <v>1</v>
      </c>
      <c r="AE25" t="str">
        <f t="shared" si="18"/>
        <v>Credit</v>
      </c>
      <c r="AF25" t="str">
        <f t="shared" si="7"/>
        <v>MODERATE SALES</v>
      </c>
      <c r="AG25" t="str">
        <f t="shared" si="8"/>
        <v>True</v>
      </c>
      <c r="AH25" t="str">
        <f t="shared" si="9"/>
        <v>Simon</v>
      </c>
      <c r="AI25" t="str">
        <f t="shared" si="15"/>
        <v>2</v>
      </c>
      <c r="AJ25" t="s">
        <v>121</v>
      </c>
      <c r="AK25">
        <f t="shared" si="10"/>
        <v>1037.4</v>
      </c>
      <c r="AL25" t="str">
        <f t="shared" si="11"/>
        <v>Friday</v>
      </c>
      <c r="AM25" s="9">
        <f t="shared" si="12"/>
        <v>41704</v>
      </c>
      <c r="AN25" t="str">
        <f t="shared" si="13"/>
        <v>2months,3days</v>
      </c>
      <c r="AP25" s="20" t="str">
        <f t="shared" si="14"/>
        <v>|||||||||||||||||||||||||||||||||||||||||||||||||||||||||||||||||||||||||||||||</v>
      </c>
      <c r="AQ25" s="17" t="s">
        <v>121</v>
      </c>
      <c r="AR25" s="22">
        <v>67</v>
      </c>
      <c r="BC25" s="23" t="s">
        <v>140</v>
      </c>
      <c r="BD25" s="29">
        <v>1655</v>
      </c>
      <c r="BE25" t="str">
        <f ca="1" t="shared" si="17"/>
        <v>Finance</v>
      </c>
      <c r="BG25" s="5" t="s">
        <v>55</v>
      </c>
      <c r="BH25" s="5"/>
    </row>
    <row r="26" customHeight="1" spans="1:60">
      <c r="A26" s="11" t="s">
        <v>73</v>
      </c>
      <c r="B26" s="11" t="s">
        <v>124</v>
      </c>
      <c r="C26" s="13" t="s">
        <v>75</v>
      </c>
      <c r="D26" s="12">
        <v>24</v>
      </c>
      <c r="E26" s="11" t="s">
        <v>128</v>
      </c>
      <c r="F26" s="11" t="s">
        <v>85</v>
      </c>
      <c r="G26" s="11">
        <v>17</v>
      </c>
      <c r="H26" s="11" t="s">
        <v>141</v>
      </c>
      <c r="I26" s="14" t="s">
        <v>142</v>
      </c>
      <c r="J26" s="11" t="s">
        <v>80</v>
      </c>
      <c r="K26" s="11" t="s">
        <v>62</v>
      </c>
      <c r="L26" s="11" t="s">
        <v>81</v>
      </c>
      <c r="M26" s="11" t="s">
        <v>82</v>
      </c>
      <c r="N26" s="15">
        <v>41340</v>
      </c>
      <c r="O26" s="11">
        <v>798</v>
      </c>
      <c r="P26" s="11">
        <v>500</v>
      </c>
      <c r="Q26" s="11">
        <v>26</v>
      </c>
      <c r="R26" s="11" t="s">
        <v>65</v>
      </c>
      <c r="S26" s="11">
        <v>107</v>
      </c>
      <c r="T26" s="11" t="s">
        <v>143</v>
      </c>
      <c r="U26" s="11" t="s">
        <v>67</v>
      </c>
      <c r="V26" s="11" t="s">
        <v>68</v>
      </c>
      <c r="W26" t="str">
        <f t="shared" si="0"/>
        <v>30%</v>
      </c>
      <c r="X26" t="str">
        <f t="shared" si="1"/>
        <v>20%</v>
      </c>
      <c r="Y26" t="str">
        <f t="shared" si="2"/>
        <v>20%</v>
      </c>
      <c r="Z26" t="str">
        <f t="shared" si="3"/>
        <v>Moderate Sales</v>
      </c>
      <c r="AA26" t="b">
        <f t="shared" si="4"/>
        <v>1</v>
      </c>
      <c r="AB26">
        <f t="shared" si="5"/>
        <v>1</v>
      </c>
      <c r="AC26" t="str">
        <f t="shared" si="6"/>
        <v>Powder</v>
      </c>
      <c r="AD26">
        <f t="shared" si="16"/>
        <v>1</v>
      </c>
      <c r="AE26" t="str">
        <f t="shared" si="18"/>
        <v>Debit</v>
      </c>
      <c r="AF26" t="str">
        <f t="shared" si="7"/>
        <v>MODERATE SALES</v>
      </c>
      <c r="AG26" t="str">
        <f t="shared" si="8"/>
        <v>True</v>
      </c>
      <c r="AH26" t="str">
        <f t="shared" si="9"/>
        <v>Andy </v>
      </c>
      <c r="AI26" t="str">
        <f t="shared" si="15"/>
        <v>0</v>
      </c>
      <c r="AJ26" t="s">
        <v>144</v>
      </c>
      <c r="AK26">
        <f t="shared" si="10"/>
        <v>1037.4</v>
      </c>
      <c r="AL26" t="str">
        <f t="shared" si="11"/>
        <v>Thursday</v>
      </c>
      <c r="AM26" s="9">
        <f t="shared" si="12"/>
        <v>41400</v>
      </c>
      <c r="AN26" t="str">
        <f t="shared" si="13"/>
        <v>1months,29days</v>
      </c>
      <c r="AP26" s="20" t="str">
        <f t="shared" si="14"/>
        <v>|||||||||||||||||||||||||||||||||||||||||||||||||||||||||||||||||||||||||||||||</v>
      </c>
      <c r="AQ26" s="17" t="s">
        <v>142</v>
      </c>
      <c r="AR26" s="22">
        <v>-89</v>
      </c>
      <c r="BC26" s="23" t="s">
        <v>145</v>
      </c>
      <c r="BD26" s="29">
        <v>1655</v>
      </c>
      <c r="BE26" t="str">
        <f ca="1" t="shared" si="17"/>
        <v>Accounting</v>
      </c>
      <c r="BG26" s="5" t="s">
        <v>55</v>
      </c>
      <c r="BH26" s="5"/>
    </row>
    <row r="27" customHeight="1" spans="1:60">
      <c r="A27" s="11" t="s">
        <v>73</v>
      </c>
      <c r="B27" s="11" t="s">
        <v>124</v>
      </c>
      <c r="C27" s="13" t="s">
        <v>75</v>
      </c>
      <c r="D27" s="12">
        <v>24</v>
      </c>
      <c r="E27" s="11" t="s">
        <v>128</v>
      </c>
      <c r="F27" s="11" t="s">
        <v>85</v>
      </c>
      <c r="G27" s="11">
        <v>17</v>
      </c>
      <c r="H27" s="11" t="s">
        <v>141</v>
      </c>
      <c r="I27" s="14" t="s">
        <v>142</v>
      </c>
      <c r="J27" s="11" t="s">
        <v>80</v>
      </c>
      <c r="K27" s="11" t="s">
        <v>62</v>
      </c>
      <c r="L27" s="11" t="s">
        <v>81</v>
      </c>
      <c r="M27" s="11" t="s">
        <v>82</v>
      </c>
      <c r="N27" s="15">
        <v>42070</v>
      </c>
      <c r="O27" s="11">
        <v>798</v>
      </c>
      <c r="P27" s="11">
        <v>500</v>
      </c>
      <c r="Q27" s="11">
        <v>26</v>
      </c>
      <c r="R27" s="11" t="s">
        <v>65</v>
      </c>
      <c r="S27" s="11">
        <v>107</v>
      </c>
      <c r="T27" s="11" t="s">
        <v>143</v>
      </c>
      <c r="U27" s="11" t="s">
        <v>67</v>
      </c>
      <c r="V27" s="11" t="s">
        <v>68</v>
      </c>
      <c r="W27" t="str">
        <f t="shared" si="0"/>
        <v>30%</v>
      </c>
      <c r="X27" t="str">
        <f t="shared" si="1"/>
        <v>20%</v>
      </c>
      <c r="Y27" t="str">
        <f t="shared" si="2"/>
        <v>20%</v>
      </c>
      <c r="Z27" t="str">
        <f t="shared" si="3"/>
        <v>Moderate Sales</v>
      </c>
      <c r="AA27" t="b">
        <f t="shared" si="4"/>
        <v>1</v>
      </c>
      <c r="AB27">
        <f t="shared" si="5"/>
        <v>1</v>
      </c>
      <c r="AC27" t="str">
        <f t="shared" si="6"/>
        <v>Powder</v>
      </c>
      <c r="AD27">
        <f t="shared" si="16"/>
        <v>1</v>
      </c>
      <c r="AE27" t="str">
        <f t="shared" si="18"/>
        <v>Debit</v>
      </c>
      <c r="AF27" t="str">
        <f t="shared" si="7"/>
        <v>MODERATE SALES</v>
      </c>
      <c r="AG27" t="str">
        <f t="shared" si="8"/>
        <v>True</v>
      </c>
      <c r="AH27" t="str">
        <f t="shared" si="9"/>
        <v>Andy </v>
      </c>
      <c r="AI27" t="str">
        <f t="shared" si="15"/>
        <v>0</v>
      </c>
      <c r="AJ27" t="s">
        <v>144</v>
      </c>
      <c r="AK27">
        <f t="shared" si="10"/>
        <v>1037.4</v>
      </c>
      <c r="AL27" t="str">
        <f t="shared" si="11"/>
        <v>Saturday</v>
      </c>
      <c r="AM27" s="9">
        <f t="shared" si="12"/>
        <v>42130</v>
      </c>
      <c r="AN27" t="str">
        <f t="shared" si="13"/>
        <v>1months,29days</v>
      </c>
      <c r="AP27" s="20" t="str">
        <f t="shared" si="14"/>
        <v>|||||||||||||||||||||||||||||||||||||||||||||||||||||||||||||||||||||||||||||||</v>
      </c>
      <c r="AQ27" s="17" t="s">
        <v>142</v>
      </c>
      <c r="AR27" s="22"/>
      <c r="BC27" s="23" t="s">
        <v>101</v>
      </c>
      <c r="BD27" s="29">
        <v>4870</v>
      </c>
      <c r="BE27" t="str">
        <f ca="1" t="shared" si="17"/>
        <v>Accounting</v>
      </c>
      <c r="BG27" s="5" t="s">
        <v>124</v>
      </c>
      <c r="BH27" s="5"/>
    </row>
    <row r="28" customHeight="1" spans="1:60">
      <c r="A28" s="11" t="s">
        <v>109</v>
      </c>
      <c r="B28" s="11" t="s">
        <v>125</v>
      </c>
      <c r="C28" s="13" t="s">
        <v>111</v>
      </c>
      <c r="D28" s="12">
        <v>14</v>
      </c>
      <c r="E28" s="11" t="s">
        <v>146</v>
      </c>
      <c r="F28" s="11" t="s">
        <v>83</v>
      </c>
      <c r="G28" s="11">
        <v>8</v>
      </c>
      <c r="H28" s="11" t="s">
        <v>147</v>
      </c>
      <c r="I28" s="14" t="s">
        <v>148</v>
      </c>
      <c r="J28" s="11" t="s">
        <v>149</v>
      </c>
      <c r="K28" s="11" t="s">
        <v>116</v>
      </c>
      <c r="L28" s="11" t="s">
        <v>150</v>
      </c>
      <c r="M28" s="11" t="s">
        <v>118</v>
      </c>
      <c r="N28" s="15">
        <v>40916</v>
      </c>
      <c r="O28" s="11">
        <v>700</v>
      </c>
      <c r="P28" s="11">
        <v>800</v>
      </c>
      <c r="Q28" s="11">
        <v>17</v>
      </c>
      <c r="R28" s="11" t="s">
        <v>65</v>
      </c>
      <c r="S28" s="11">
        <v>107</v>
      </c>
      <c r="T28" s="11" t="s">
        <v>143</v>
      </c>
      <c r="U28" s="11" t="s">
        <v>67</v>
      </c>
      <c r="V28" s="11" t="s">
        <v>68</v>
      </c>
      <c r="W28" t="str">
        <f t="shared" si="0"/>
        <v>30%</v>
      </c>
      <c r="X28" t="str">
        <f t="shared" si="1"/>
        <v>20%</v>
      </c>
      <c r="Y28" t="str">
        <f t="shared" si="2"/>
        <v>20%</v>
      </c>
      <c r="Z28" t="str">
        <f t="shared" si="3"/>
        <v>Moderate Sales</v>
      </c>
      <c r="AA28" t="b">
        <f t="shared" si="4"/>
        <v>1</v>
      </c>
      <c r="AB28">
        <f t="shared" si="5"/>
        <v>1</v>
      </c>
      <c r="AC28" t="str">
        <f t="shared" si="6"/>
        <v>Laptop</v>
      </c>
      <c r="AD28">
        <f t="shared" si="16"/>
        <v>1</v>
      </c>
      <c r="AE28" t="str">
        <f t="shared" si="18"/>
        <v>Credit</v>
      </c>
      <c r="AF28" t="str">
        <f t="shared" si="7"/>
        <v>MODERATE SALES</v>
      </c>
      <c r="AG28" t="str">
        <f t="shared" si="8"/>
        <v>True</v>
      </c>
      <c r="AH28" t="str">
        <f t="shared" si="9"/>
        <v>Gauta</v>
      </c>
      <c r="AI28" t="str">
        <f t="shared" si="15"/>
        <v>6</v>
      </c>
      <c r="AJ28" t="s">
        <v>148</v>
      </c>
      <c r="AK28">
        <f t="shared" si="10"/>
        <v>910</v>
      </c>
      <c r="AL28" t="str">
        <f t="shared" si="11"/>
        <v>Sunday</v>
      </c>
      <c r="AM28" s="9">
        <f t="shared" si="12"/>
        <v>40974</v>
      </c>
      <c r="AN28" t="str">
        <f t="shared" si="13"/>
        <v>1months,27days</v>
      </c>
      <c r="AO28" s="24">
        <v>36892</v>
      </c>
      <c r="AP28" s="20" t="str">
        <f t="shared" si="14"/>
        <v>||||||||||||||||||||||||||||||||||||||||||||||||||||||||||||||||||||||</v>
      </c>
      <c r="AQ28" s="17" t="s">
        <v>148</v>
      </c>
      <c r="AR28" s="22"/>
      <c r="BE28" t="str">
        <f ca="1" t="shared" si="17"/>
        <v>Sales</v>
      </c>
      <c r="BG28" s="5" t="s">
        <v>124</v>
      </c>
      <c r="BH28" s="5"/>
    </row>
    <row r="29" customHeight="1" spans="1:60">
      <c r="A29" s="11" t="s">
        <v>109</v>
      </c>
      <c r="B29" s="11" t="s">
        <v>125</v>
      </c>
      <c r="C29" s="13" t="s">
        <v>111</v>
      </c>
      <c r="D29" s="12">
        <v>14</v>
      </c>
      <c r="E29" s="11" t="s">
        <v>146</v>
      </c>
      <c r="F29" s="11" t="s">
        <v>83</v>
      </c>
      <c r="G29" s="11">
        <v>8</v>
      </c>
      <c r="H29" s="11" t="s">
        <v>147</v>
      </c>
      <c r="I29" s="14" t="s">
        <v>148</v>
      </c>
      <c r="J29" s="11" t="s">
        <v>149</v>
      </c>
      <c r="K29" s="11" t="s">
        <v>116</v>
      </c>
      <c r="L29" s="11" t="s">
        <v>150</v>
      </c>
      <c r="M29" s="11" t="s">
        <v>118</v>
      </c>
      <c r="N29" s="15">
        <v>41647</v>
      </c>
      <c r="O29" s="11">
        <v>700</v>
      </c>
      <c r="P29" s="11">
        <v>800</v>
      </c>
      <c r="Q29" s="11">
        <v>17</v>
      </c>
      <c r="R29" s="11" t="s">
        <v>65</v>
      </c>
      <c r="S29" s="11">
        <v>107</v>
      </c>
      <c r="T29" s="11" t="s">
        <v>143</v>
      </c>
      <c r="U29" s="11" t="s">
        <v>67</v>
      </c>
      <c r="V29" s="11" t="s">
        <v>68</v>
      </c>
      <c r="W29" t="str">
        <f t="shared" si="0"/>
        <v>30%</v>
      </c>
      <c r="X29" t="str">
        <f t="shared" si="1"/>
        <v>20%</v>
      </c>
      <c r="Y29" t="str">
        <f t="shared" si="2"/>
        <v>20%</v>
      </c>
      <c r="Z29" t="str">
        <f t="shared" si="3"/>
        <v>Moderate Sales</v>
      </c>
      <c r="AA29" t="b">
        <f t="shared" si="4"/>
        <v>1</v>
      </c>
      <c r="AB29">
        <f t="shared" si="5"/>
        <v>1</v>
      </c>
      <c r="AC29" t="str">
        <f t="shared" si="6"/>
        <v>Laptop</v>
      </c>
      <c r="AD29">
        <f t="shared" si="16"/>
        <v>1</v>
      </c>
      <c r="AE29" t="str">
        <f t="shared" si="18"/>
        <v>Credit</v>
      </c>
      <c r="AF29" t="str">
        <f t="shared" si="7"/>
        <v>MODERATE SALES</v>
      </c>
      <c r="AG29" t="str">
        <f t="shared" si="8"/>
        <v>True</v>
      </c>
      <c r="AH29" t="str">
        <f t="shared" si="9"/>
        <v>Gauta</v>
      </c>
      <c r="AI29" t="str">
        <f t="shared" si="15"/>
        <v>7</v>
      </c>
      <c r="AJ29" t="s">
        <v>148</v>
      </c>
      <c r="AK29">
        <f t="shared" si="10"/>
        <v>910</v>
      </c>
      <c r="AL29" t="str">
        <f t="shared" si="11"/>
        <v>Wednesday</v>
      </c>
      <c r="AM29" s="9">
        <f t="shared" si="12"/>
        <v>41704</v>
      </c>
      <c r="AN29" t="str">
        <f t="shared" si="13"/>
        <v>1months,26days</v>
      </c>
      <c r="AP29" s="20" t="str">
        <f t="shared" si="14"/>
        <v>||||||||||||||||||||||||||||||||||||||||||||||||||||||||||||||||||||||</v>
      </c>
      <c r="AQ29" s="17" t="s">
        <v>148</v>
      </c>
      <c r="AR29" s="22"/>
      <c r="BE29" t="str">
        <f ca="1" t="shared" si="17"/>
        <v>Sales</v>
      </c>
      <c r="BG29" s="5" t="s">
        <v>125</v>
      </c>
      <c r="BH29" s="5"/>
    </row>
    <row r="30" customHeight="1" spans="1:60">
      <c r="A30" s="11" t="s">
        <v>54</v>
      </c>
      <c r="B30" s="11" t="s">
        <v>55</v>
      </c>
      <c r="C30" s="13" t="s">
        <v>56</v>
      </c>
      <c r="D30" s="12">
        <v>30</v>
      </c>
      <c r="E30" s="11" t="s">
        <v>57</v>
      </c>
      <c r="F30" s="11" t="s">
        <v>58</v>
      </c>
      <c r="G30" s="11">
        <v>24</v>
      </c>
      <c r="H30" s="11" t="s">
        <v>151</v>
      </c>
      <c r="I30" s="14" t="s">
        <v>100</v>
      </c>
      <c r="J30" s="11" t="s">
        <v>61</v>
      </c>
      <c r="K30" s="11" t="s">
        <v>62</v>
      </c>
      <c r="L30" s="11" t="s">
        <v>63</v>
      </c>
      <c r="M30" s="11" t="s">
        <v>64</v>
      </c>
      <c r="N30" s="15">
        <v>41335</v>
      </c>
      <c r="O30" s="11">
        <v>680</v>
      </c>
      <c r="P30" s="11">
        <v>1200</v>
      </c>
      <c r="Q30" s="11">
        <v>33</v>
      </c>
      <c r="R30" s="11" t="s">
        <v>119</v>
      </c>
      <c r="S30" s="11">
        <v>107</v>
      </c>
      <c r="T30" s="11" t="s">
        <v>143</v>
      </c>
      <c r="U30" s="11" t="s">
        <v>67</v>
      </c>
      <c r="V30" s="11" t="s">
        <v>68</v>
      </c>
      <c r="W30" t="str">
        <f t="shared" si="0"/>
        <v>30%</v>
      </c>
      <c r="X30" t="str">
        <f t="shared" si="1"/>
        <v>20%</v>
      </c>
      <c r="Y30" t="str">
        <f t="shared" si="2"/>
        <v>20%</v>
      </c>
      <c r="Z30" t="str">
        <f t="shared" si="3"/>
        <v>Moderate Sales</v>
      </c>
      <c r="AA30" t="b">
        <f t="shared" si="4"/>
        <v>1</v>
      </c>
      <c r="AB30">
        <f t="shared" si="5"/>
        <v>1</v>
      </c>
      <c r="AC30" t="str">
        <f t="shared" si="6"/>
        <v>ATT</v>
      </c>
      <c r="AD30">
        <f t="shared" si="16"/>
        <v>1</v>
      </c>
      <c r="AE30" t="str">
        <f t="shared" si="18"/>
        <v>Cheque</v>
      </c>
      <c r="AF30" t="str">
        <f t="shared" si="7"/>
        <v>MODERATE SALES</v>
      </c>
      <c r="AG30" t="str">
        <f t="shared" si="8"/>
        <v>True</v>
      </c>
      <c r="AH30" t="str">
        <f t="shared" si="9"/>
        <v>John</v>
      </c>
      <c r="AI30" t="str">
        <f t="shared" si="15"/>
        <v>5</v>
      </c>
      <c r="AJ30" t="s">
        <v>100</v>
      </c>
      <c r="AK30">
        <f t="shared" si="10"/>
        <v>884</v>
      </c>
      <c r="AL30" t="str">
        <f t="shared" si="11"/>
        <v>Saturday</v>
      </c>
      <c r="AM30" s="9">
        <f t="shared" si="12"/>
        <v>41400</v>
      </c>
      <c r="AN30" t="str">
        <f t="shared" si="13"/>
        <v>2months,4days</v>
      </c>
      <c r="AP30" s="20" t="str">
        <f t="shared" si="14"/>
        <v>||||||||||||||||||||||||||||||||||||||||||||||||||||||||||||||||||||</v>
      </c>
      <c r="AQ30" s="17" t="s">
        <v>100</v>
      </c>
      <c r="AR30" s="22"/>
      <c r="BE30" t="str">
        <f ca="1" t="shared" si="17"/>
        <v>Finance</v>
      </c>
      <c r="BG30" s="5" t="s">
        <v>125</v>
      </c>
      <c r="BH30" s="5"/>
    </row>
    <row r="31" ht="15" spans="1:60">
      <c r="A31" s="11" t="s">
        <v>54</v>
      </c>
      <c r="B31" s="11" t="s">
        <v>55</v>
      </c>
      <c r="C31" s="13" t="s">
        <v>56</v>
      </c>
      <c r="D31" s="12">
        <v>30</v>
      </c>
      <c r="E31" s="11" t="s">
        <v>57</v>
      </c>
      <c r="F31" s="11" t="s">
        <v>58</v>
      </c>
      <c r="G31" s="11">
        <v>24</v>
      </c>
      <c r="H31" s="11" t="s">
        <v>151</v>
      </c>
      <c r="I31" s="14" t="s">
        <v>100</v>
      </c>
      <c r="J31" s="11" t="s">
        <v>61</v>
      </c>
      <c r="K31" s="11" t="s">
        <v>62</v>
      </c>
      <c r="L31" s="11" t="s">
        <v>63</v>
      </c>
      <c r="M31" s="11" t="s">
        <v>64</v>
      </c>
      <c r="N31" s="15">
        <v>42065</v>
      </c>
      <c r="O31" s="11">
        <v>680</v>
      </c>
      <c r="P31" s="11">
        <v>1200</v>
      </c>
      <c r="Q31" s="11">
        <v>33</v>
      </c>
      <c r="R31" s="11" t="s">
        <v>119</v>
      </c>
      <c r="S31" s="11">
        <v>107</v>
      </c>
      <c r="T31" s="11" t="s">
        <v>143</v>
      </c>
      <c r="U31" s="11" t="s">
        <v>67</v>
      </c>
      <c r="V31" s="11" t="s">
        <v>68</v>
      </c>
      <c r="W31" t="str">
        <f t="shared" si="0"/>
        <v>30%</v>
      </c>
      <c r="X31" t="str">
        <f t="shared" si="1"/>
        <v>20%</v>
      </c>
      <c r="Y31" t="str">
        <f t="shared" si="2"/>
        <v>20%</v>
      </c>
      <c r="Z31" t="str">
        <f t="shared" si="3"/>
        <v>Moderate Sales</v>
      </c>
      <c r="AA31" t="b">
        <f t="shared" si="4"/>
        <v>1</v>
      </c>
      <c r="AB31">
        <f t="shared" si="5"/>
        <v>1</v>
      </c>
      <c r="AC31" t="str">
        <f t="shared" si="6"/>
        <v>ATT</v>
      </c>
      <c r="AD31">
        <f t="shared" si="16"/>
        <v>1</v>
      </c>
      <c r="AE31" t="str">
        <f t="shared" si="18"/>
        <v>Credit</v>
      </c>
      <c r="AF31" t="str">
        <f t="shared" si="7"/>
        <v>MODERATE SALES</v>
      </c>
      <c r="AG31" t="str">
        <f t="shared" si="8"/>
        <v>True</v>
      </c>
      <c r="AH31" t="str">
        <f t="shared" si="9"/>
        <v>John</v>
      </c>
      <c r="AI31" t="str">
        <f t="shared" si="15"/>
        <v>5</v>
      </c>
      <c r="AJ31" t="s">
        <v>100</v>
      </c>
      <c r="AK31">
        <f t="shared" si="10"/>
        <v>884</v>
      </c>
      <c r="AL31" t="str">
        <f t="shared" si="11"/>
        <v>Monday</v>
      </c>
      <c r="AM31" s="9">
        <f t="shared" si="12"/>
        <v>42130</v>
      </c>
      <c r="AN31" t="str">
        <f t="shared" si="13"/>
        <v>2months,4days</v>
      </c>
      <c r="AP31" s="20" t="str">
        <f t="shared" si="14"/>
        <v>||||||||||||||||||||||||||||||||||||||||||||||||||||||||||||||||||||</v>
      </c>
      <c r="AQ31" s="17" t="s">
        <v>100</v>
      </c>
      <c r="AR31" s="22"/>
      <c r="BE31" t="str">
        <f ca="1" t="shared" si="17"/>
        <v>Finance</v>
      </c>
      <c r="BG31" s="5" t="s">
        <v>55</v>
      </c>
      <c r="BH31" s="5"/>
    </row>
    <row r="32" ht="15" spans="1:60">
      <c r="A32" s="11" t="s">
        <v>54</v>
      </c>
      <c r="B32" s="11" t="s">
        <v>88</v>
      </c>
      <c r="C32" s="13" t="s">
        <v>56</v>
      </c>
      <c r="D32" s="12">
        <v>38</v>
      </c>
      <c r="E32" s="11" t="s">
        <v>89</v>
      </c>
      <c r="F32" s="11" t="s">
        <v>72</v>
      </c>
      <c r="G32" s="11">
        <v>29</v>
      </c>
      <c r="H32" s="11" t="s">
        <v>152</v>
      </c>
      <c r="I32" s="14" t="s">
        <v>103</v>
      </c>
      <c r="J32" s="11" t="s">
        <v>130</v>
      </c>
      <c r="K32" s="11" t="s">
        <v>99</v>
      </c>
      <c r="L32" s="11" t="s">
        <v>153</v>
      </c>
      <c r="M32" s="11" t="s">
        <v>93</v>
      </c>
      <c r="N32" s="15">
        <v>40976</v>
      </c>
      <c r="O32" s="11">
        <v>680</v>
      </c>
      <c r="P32" s="11">
        <v>1600</v>
      </c>
      <c r="Q32" s="11">
        <v>38</v>
      </c>
      <c r="R32" s="11" t="s">
        <v>119</v>
      </c>
      <c r="S32" s="11">
        <v>107</v>
      </c>
      <c r="T32" s="11" t="s">
        <v>143</v>
      </c>
      <c r="U32" s="11" t="s">
        <v>67</v>
      </c>
      <c r="V32" s="11" t="s">
        <v>68</v>
      </c>
      <c r="W32" t="str">
        <f t="shared" si="0"/>
        <v>30%</v>
      </c>
      <c r="X32" t="str">
        <f t="shared" si="1"/>
        <v>20%</v>
      </c>
      <c r="Y32" t="str">
        <f t="shared" si="2"/>
        <v>20%</v>
      </c>
      <c r="Z32" t="str">
        <f t="shared" si="3"/>
        <v>Moderate Sales</v>
      </c>
      <c r="AA32" t="b">
        <f t="shared" si="4"/>
        <v>1</v>
      </c>
      <c r="AB32">
        <f t="shared" si="5"/>
        <v>1</v>
      </c>
      <c r="AC32" t="str">
        <f t="shared" si="6"/>
        <v>ATT</v>
      </c>
      <c r="AD32">
        <f t="shared" si="16"/>
        <v>1</v>
      </c>
      <c r="AE32" t="str">
        <f t="shared" si="18"/>
        <v>Credit</v>
      </c>
      <c r="AF32" t="str">
        <f t="shared" si="7"/>
        <v>MODERATE SALES</v>
      </c>
      <c r="AG32" t="str">
        <f t="shared" si="8"/>
        <v>True</v>
      </c>
      <c r="AH32" t="str">
        <f t="shared" si="9"/>
        <v>Kaush</v>
      </c>
      <c r="AI32" t="str">
        <f t="shared" si="15"/>
        <v>6</v>
      </c>
      <c r="AJ32" t="s">
        <v>103</v>
      </c>
      <c r="AK32">
        <f t="shared" si="10"/>
        <v>884</v>
      </c>
      <c r="AL32" t="str">
        <f t="shared" si="11"/>
        <v>Thursday</v>
      </c>
      <c r="AM32" s="9">
        <f t="shared" si="12"/>
        <v>41035</v>
      </c>
      <c r="AN32" t="str">
        <f t="shared" si="13"/>
        <v>1months,28days</v>
      </c>
      <c r="AP32" s="20" t="str">
        <f t="shared" si="14"/>
        <v>||||||||||||||||||||||||||||||||||||||||||||||||||||||||||||||||||||</v>
      </c>
      <c r="AQ32" s="17" t="s">
        <v>103</v>
      </c>
      <c r="AR32" s="22"/>
      <c r="BE32" t="str">
        <f ca="1" t="shared" si="17"/>
        <v>Audit</v>
      </c>
      <c r="BG32" s="5" t="s">
        <v>55</v>
      </c>
      <c r="BH32" s="5"/>
    </row>
    <row r="33" ht="15" spans="1:60">
      <c r="A33" s="11" t="s">
        <v>54</v>
      </c>
      <c r="B33" s="11" t="s">
        <v>88</v>
      </c>
      <c r="C33" s="13" t="s">
        <v>56</v>
      </c>
      <c r="D33" s="12">
        <v>38</v>
      </c>
      <c r="E33" s="11" t="s">
        <v>89</v>
      </c>
      <c r="F33" s="11" t="s">
        <v>72</v>
      </c>
      <c r="G33" s="11">
        <v>29</v>
      </c>
      <c r="H33" s="11" t="s">
        <v>152</v>
      </c>
      <c r="I33" s="14" t="s">
        <v>103</v>
      </c>
      <c r="J33" s="11" t="s">
        <v>130</v>
      </c>
      <c r="K33" s="11" t="s">
        <v>62</v>
      </c>
      <c r="L33" s="11" t="s">
        <v>153</v>
      </c>
      <c r="M33" s="11" t="s">
        <v>93</v>
      </c>
      <c r="N33" s="15">
        <v>41706</v>
      </c>
      <c r="O33" s="11">
        <v>680</v>
      </c>
      <c r="P33" s="11">
        <v>1600</v>
      </c>
      <c r="Q33" s="11">
        <v>38</v>
      </c>
      <c r="R33" s="11" t="s">
        <v>119</v>
      </c>
      <c r="S33" s="11">
        <v>107</v>
      </c>
      <c r="T33" s="11" t="s">
        <v>143</v>
      </c>
      <c r="U33" s="11" t="s">
        <v>67</v>
      </c>
      <c r="V33" s="11" t="s">
        <v>68</v>
      </c>
      <c r="W33" t="str">
        <f t="shared" si="0"/>
        <v>30%</v>
      </c>
      <c r="X33" t="str">
        <f t="shared" si="1"/>
        <v>20%</v>
      </c>
      <c r="Y33" t="str">
        <f t="shared" si="2"/>
        <v>20%</v>
      </c>
      <c r="Z33" t="str">
        <f t="shared" si="3"/>
        <v>Moderate Sales</v>
      </c>
      <c r="AA33" t="b">
        <f t="shared" si="4"/>
        <v>1</v>
      </c>
      <c r="AB33">
        <f t="shared" si="5"/>
        <v>1</v>
      </c>
      <c r="AC33" t="str">
        <f t="shared" si="6"/>
        <v>ATT</v>
      </c>
      <c r="AD33">
        <f t="shared" si="16"/>
        <v>1</v>
      </c>
      <c r="AE33" t="str">
        <f t="shared" si="18"/>
        <v>Credit</v>
      </c>
      <c r="AF33" t="str">
        <f t="shared" si="7"/>
        <v>MODERATE SALES</v>
      </c>
      <c r="AG33" t="str">
        <f t="shared" si="8"/>
        <v>True</v>
      </c>
      <c r="AH33" t="str">
        <f t="shared" si="9"/>
        <v>Kaush</v>
      </c>
      <c r="AI33" t="str">
        <f t="shared" si="15"/>
        <v>6</v>
      </c>
      <c r="AJ33" t="s">
        <v>103</v>
      </c>
      <c r="AK33">
        <f t="shared" si="10"/>
        <v>884</v>
      </c>
      <c r="AL33" t="str">
        <f t="shared" si="11"/>
        <v>Saturday</v>
      </c>
      <c r="AM33" s="9">
        <f t="shared" si="12"/>
        <v>41765</v>
      </c>
      <c r="AN33" t="str">
        <f t="shared" si="13"/>
        <v>1months,28days</v>
      </c>
      <c r="AP33" s="20" t="str">
        <f t="shared" si="14"/>
        <v>||||||||||||||||||||||||||||||||||||||||||||||||||||||||||||||||||||</v>
      </c>
      <c r="AQ33" s="17" t="s">
        <v>103</v>
      </c>
      <c r="AR33" s="22"/>
      <c r="BE33" t="str">
        <f ca="1" t="shared" si="17"/>
        <v>Audit</v>
      </c>
      <c r="BG33" s="5" t="s">
        <v>88</v>
      </c>
      <c r="BH33" s="5"/>
    </row>
    <row r="34" ht="15" spans="1:60">
      <c r="A34" s="11" t="s">
        <v>73</v>
      </c>
      <c r="B34" s="11" t="s">
        <v>124</v>
      </c>
      <c r="C34" s="13" t="s">
        <v>75</v>
      </c>
      <c r="D34" s="12">
        <v>24</v>
      </c>
      <c r="E34" s="11" t="s">
        <v>128</v>
      </c>
      <c r="F34" s="11" t="s">
        <v>85</v>
      </c>
      <c r="G34" s="11">
        <v>19</v>
      </c>
      <c r="H34" s="11" t="s">
        <v>129</v>
      </c>
      <c r="I34" s="14" t="s">
        <v>108</v>
      </c>
      <c r="J34" s="11" t="s">
        <v>130</v>
      </c>
      <c r="K34" s="11" t="s">
        <v>99</v>
      </c>
      <c r="L34" s="11" t="s">
        <v>63</v>
      </c>
      <c r="M34" s="11" t="s">
        <v>64</v>
      </c>
      <c r="N34" s="15">
        <v>40909</v>
      </c>
      <c r="O34" s="11">
        <v>680</v>
      </c>
      <c r="P34" s="11">
        <v>700</v>
      </c>
      <c r="Q34" s="11">
        <v>28</v>
      </c>
      <c r="R34" s="11" t="s">
        <v>65</v>
      </c>
      <c r="S34" s="11">
        <v>107</v>
      </c>
      <c r="T34" s="11" t="s">
        <v>143</v>
      </c>
      <c r="U34" s="11" t="s">
        <v>67</v>
      </c>
      <c r="V34" s="11" t="s">
        <v>68</v>
      </c>
      <c r="W34" t="str">
        <f t="shared" ref="W34:W65" si="19">IF(O34&gt;200,"30%",0)</f>
        <v>30%</v>
      </c>
      <c r="X34" t="str">
        <f t="shared" ref="X34:X65" si="20">IF(OR(O34&gt;200,P34&gt;300),"20%",0)</f>
        <v>20%</v>
      </c>
      <c r="Y34" t="str">
        <f t="shared" ref="Y34:Y65" si="21">IF(AND(O34&gt;200,P34&gt;300),"20%",0)</f>
        <v>20%</v>
      </c>
      <c r="Z34" t="str">
        <f t="shared" ref="Z34:Z65" si="22">IF(O34&gt;800,"Great Sales",IF(O34&gt;400,"Moderate Sales","Poor Sales"))</f>
        <v>Moderate Sales</v>
      </c>
      <c r="AA34" t="b">
        <f t="shared" ref="AA34:AA65" si="23">NOT(W34=0)</f>
        <v>1</v>
      </c>
      <c r="AB34">
        <f t="shared" ref="AB34:AB65" si="24">IFERROR(AD34,"Error")</f>
        <v>1</v>
      </c>
      <c r="AC34" t="str">
        <f t="shared" ref="AC34:AC65" si="25">VLOOKUP(A34,$A$2:$AB$117,6,0)</f>
        <v>Powder</v>
      </c>
      <c r="AD34">
        <f t="shared" si="16"/>
        <v>1</v>
      </c>
      <c r="AE34" t="str">
        <f t="shared" si="18"/>
        <v>Debit</v>
      </c>
      <c r="AF34" t="str">
        <f t="shared" ref="AF34:AF65" si="26">UPPER(Z34)</f>
        <v>MODERATE SALES</v>
      </c>
      <c r="AG34" t="str">
        <f t="shared" ref="AG34:AG65" si="27">PROPER(AA34)</f>
        <v>True</v>
      </c>
      <c r="AH34" t="str">
        <f t="shared" ref="AH34:AH65" si="28">LEFT(I34,5)</f>
        <v>Kenny</v>
      </c>
      <c r="AI34" t="str">
        <f t="shared" ref="AI34:AI65" si="29">MID(N34,5,8)</f>
        <v>9</v>
      </c>
      <c r="AJ34" t="s">
        <v>108</v>
      </c>
      <c r="AK34">
        <f t="shared" ref="AK34:AK65" si="30">O34*(1+W34)</f>
        <v>884</v>
      </c>
      <c r="AL34" t="str">
        <f t="shared" ref="AL34:AL65" si="31">TEXT(N34,"DDDD")</f>
        <v>Sunday</v>
      </c>
      <c r="AM34" s="9">
        <f t="shared" ref="AM34:AM65" si="32">EOMONTH(N34,1)+6</f>
        <v>40974</v>
      </c>
      <c r="AN34" t="str">
        <f t="shared" ref="AN34:AN65" si="33">DATEDIF(N34,AM34,"ym")&amp;"months,"&amp;DATEDIF(N34,AM34,"md")&amp;"days"</f>
        <v>2months,5days</v>
      </c>
      <c r="AO34" s="25">
        <v>19.45</v>
      </c>
      <c r="AP34" s="20" t="str">
        <f t="shared" ref="AP34:AP65" si="34">REPT("|",O34/10)</f>
        <v>||||||||||||||||||||||||||||||||||||||||||||||||||||||||||||||||||||</v>
      </c>
      <c r="AQ34" s="17" t="s">
        <v>108</v>
      </c>
      <c r="AR34" s="22"/>
      <c r="BE34" t="str">
        <f ca="1" t="shared" si="17"/>
        <v>Finance</v>
      </c>
      <c r="BG34" s="5" t="s">
        <v>88</v>
      </c>
      <c r="BH34" s="5"/>
    </row>
    <row r="35" ht="15" spans="1:60">
      <c r="A35" s="11" t="s">
        <v>73</v>
      </c>
      <c r="B35" s="11" t="s">
        <v>124</v>
      </c>
      <c r="C35" s="13" t="s">
        <v>75</v>
      </c>
      <c r="D35" s="12">
        <v>24</v>
      </c>
      <c r="E35" s="11" t="s">
        <v>128</v>
      </c>
      <c r="F35" s="11" t="s">
        <v>85</v>
      </c>
      <c r="G35" s="11">
        <v>19</v>
      </c>
      <c r="H35" s="11" t="s">
        <v>129</v>
      </c>
      <c r="I35" s="14" t="s">
        <v>108</v>
      </c>
      <c r="J35" s="11" t="s">
        <v>130</v>
      </c>
      <c r="K35" s="11" t="s">
        <v>62</v>
      </c>
      <c r="L35" s="11" t="s">
        <v>63</v>
      </c>
      <c r="M35" s="11" t="s">
        <v>64</v>
      </c>
      <c r="N35" s="15">
        <v>41640</v>
      </c>
      <c r="O35" s="11">
        <v>680</v>
      </c>
      <c r="P35" s="11">
        <v>700</v>
      </c>
      <c r="Q35" s="11">
        <v>28</v>
      </c>
      <c r="R35" s="11" t="s">
        <v>65</v>
      </c>
      <c r="S35" s="11">
        <v>107</v>
      </c>
      <c r="T35" s="11" t="s">
        <v>143</v>
      </c>
      <c r="U35" s="11" t="s">
        <v>67</v>
      </c>
      <c r="V35" s="11" t="s">
        <v>68</v>
      </c>
      <c r="W35" t="str">
        <f t="shared" si="19"/>
        <v>30%</v>
      </c>
      <c r="X35" t="str">
        <f t="shared" si="20"/>
        <v>20%</v>
      </c>
      <c r="Y35" t="str">
        <f t="shared" si="21"/>
        <v>20%</v>
      </c>
      <c r="Z35" t="str">
        <f t="shared" si="22"/>
        <v>Moderate Sales</v>
      </c>
      <c r="AA35" t="b">
        <f t="shared" si="23"/>
        <v>1</v>
      </c>
      <c r="AB35">
        <f t="shared" si="24"/>
        <v>1</v>
      </c>
      <c r="AC35" t="str">
        <f t="shared" si="25"/>
        <v>Powder</v>
      </c>
      <c r="AD35">
        <f t="shared" si="16"/>
        <v>1</v>
      </c>
      <c r="AE35" t="str">
        <f t="shared" si="18"/>
        <v>Cash</v>
      </c>
      <c r="AF35" t="str">
        <f t="shared" si="26"/>
        <v>MODERATE SALES</v>
      </c>
      <c r="AG35" t="str">
        <f t="shared" si="27"/>
        <v>True</v>
      </c>
      <c r="AH35" t="str">
        <f t="shared" si="28"/>
        <v>Kenny</v>
      </c>
      <c r="AI35" t="str">
        <f t="shared" si="29"/>
        <v>0</v>
      </c>
      <c r="AJ35" t="s">
        <v>108</v>
      </c>
      <c r="AK35">
        <f t="shared" si="30"/>
        <v>884</v>
      </c>
      <c r="AL35" t="str">
        <f t="shared" si="31"/>
        <v>Wednesday</v>
      </c>
      <c r="AM35" s="9">
        <f t="shared" si="32"/>
        <v>41704</v>
      </c>
      <c r="AN35" t="str">
        <f t="shared" si="33"/>
        <v>2months,5days</v>
      </c>
      <c r="AP35" s="20" t="str">
        <f t="shared" si="34"/>
        <v>||||||||||||||||||||||||||||||||||||||||||||||||||||||||||||||||||||</v>
      </c>
      <c r="AQ35" s="17" t="s">
        <v>108</v>
      </c>
      <c r="AR35" s="22"/>
      <c r="BE35" t="str">
        <f ca="1" t="shared" si="17"/>
        <v>Finance</v>
      </c>
      <c r="BG35" s="5" t="s">
        <v>124</v>
      </c>
      <c r="BH35" s="5"/>
    </row>
    <row r="36" ht="15" spans="1:60">
      <c r="A36" s="11" t="s">
        <v>109</v>
      </c>
      <c r="B36" s="11" t="s">
        <v>125</v>
      </c>
      <c r="C36" s="13" t="s">
        <v>111</v>
      </c>
      <c r="D36" s="12">
        <v>14</v>
      </c>
      <c r="E36" s="11" t="s">
        <v>146</v>
      </c>
      <c r="F36" s="11" t="s">
        <v>83</v>
      </c>
      <c r="G36" s="11">
        <v>9</v>
      </c>
      <c r="H36" s="11" t="s">
        <v>154</v>
      </c>
      <c r="I36" s="14" t="s">
        <v>155</v>
      </c>
      <c r="J36" s="11" t="s">
        <v>149</v>
      </c>
      <c r="K36" s="11" t="s">
        <v>116</v>
      </c>
      <c r="L36" s="11" t="s">
        <v>81</v>
      </c>
      <c r="M36" s="11" t="s">
        <v>82</v>
      </c>
      <c r="N36" s="15">
        <v>41341</v>
      </c>
      <c r="O36" s="11">
        <v>900</v>
      </c>
      <c r="P36" s="11">
        <v>900</v>
      </c>
      <c r="Q36" s="11">
        <v>18</v>
      </c>
      <c r="R36" s="11" t="s">
        <v>119</v>
      </c>
      <c r="S36" s="11">
        <v>107</v>
      </c>
      <c r="T36" s="11" t="s">
        <v>143</v>
      </c>
      <c r="U36" s="11" t="s">
        <v>67</v>
      </c>
      <c r="V36" s="11" t="s">
        <v>68</v>
      </c>
      <c r="W36" t="str">
        <f t="shared" si="19"/>
        <v>30%</v>
      </c>
      <c r="X36" t="str">
        <f t="shared" si="20"/>
        <v>20%</v>
      </c>
      <c r="Y36" t="str">
        <f t="shared" si="21"/>
        <v>20%</v>
      </c>
      <c r="Z36" t="str">
        <f t="shared" si="22"/>
        <v>Great Sales</v>
      </c>
      <c r="AA36" t="b">
        <f t="shared" si="23"/>
        <v>1</v>
      </c>
      <c r="AB36">
        <f t="shared" si="24"/>
        <v>1</v>
      </c>
      <c r="AC36" t="str">
        <f t="shared" si="25"/>
        <v>Laptop</v>
      </c>
      <c r="AD36">
        <f t="shared" ref="AD36:AD67" si="35">MATCH(Y36,X36:X150,0)</f>
        <v>1</v>
      </c>
      <c r="AE36" t="str">
        <f t="shared" si="18"/>
        <v>Credit</v>
      </c>
      <c r="AF36" t="str">
        <f t="shared" si="26"/>
        <v>GREAT SALES</v>
      </c>
      <c r="AG36" t="str">
        <f t="shared" si="27"/>
        <v>True</v>
      </c>
      <c r="AH36" t="str">
        <f t="shared" si="28"/>
        <v>Zahee</v>
      </c>
      <c r="AI36" t="str">
        <f t="shared" si="29"/>
        <v>1</v>
      </c>
      <c r="AJ36" t="s">
        <v>156</v>
      </c>
      <c r="AK36">
        <f t="shared" si="30"/>
        <v>1170</v>
      </c>
      <c r="AL36" t="str">
        <f t="shared" si="31"/>
        <v>Friday</v>
      </c>
      <c r="AM36" s="9">
        <f t="shared" si="32"/>
        <v>41400</v>
      </c>
      <c r="AN36" t="str">
        <f t="shared" si="33"/>
        <v>1months,28days</v>
      </c>
      <c r="AP36" s="20" t="str">
        <f t="shared" si="34"/>
        <v>||||||||||||||||||||||||||||||||||||||||||||||||||||||||||||||||||||||||||||||||||||||||||</v>
      </c>
      <c r="AQ36" s="17" t="s">
        <v>155</v>
      </c>
      <c r="AR36" s="22"/>
      <c r="BE36" t="str">
        <f ca="1" t="shared" si="17"/>
        <v>Accounting</v>
      </c>
      <c r="BG36" s="5" t="s">
        <v>124</v>
      </c>
      <c r="BH36" s="5"/>
    </row>
    <row r="37" ht="15" spans="1:60">
      <c r="A37" s="11" t="s">
        <v>109</v>
      </c>
      <c r="B37" s="11" t="s">
        <v>125</v>
      </c>
      <c r="C37" s="13" t="s">
        <v>111</v>
      </c>
      <c r="D37" s="12">
        <v>14</v>
      </c>
      <c r="E37" s="11" t="s">
        <v>146</v>
      </c>
      <c r="F37" s="11" t="s">
        <v>83</v>
      </c>
      <c r="G37" s="11">
        <v>9</v>
      </c>
      <c r="H37" s="11" t="s">
        <v>154</v>
      </c>
      <c r="I37" s="14" t="s">
        <v>155</v>
      </c>
      <c r="J37" s="11" t="s">
        <v>149</v>
      </c>
      <c r="K37" s="11" t="s">
        <v>116</v>
      </c>
      <c r="L37" s="11" t="s">
        <v>81</v>
      </c>
      <c r="M37" s="11" t="s">
        <v>82</v>
      </c>
      <c r="N37" s="15">
        <v>42071</v>
      </c>
      <c r="O37" s="11">
        <v>900</v>
      </c>
      <c r="P37" s="11">
        <v>900</v>
      </c>
      <c r="Q37" s="11">
        <v>18</v>
      </c>
      <c r="R37" s="11" t="s">
        <v>119</v>
      </c>
      <c r="S37" s="11">
        <v>107</v>
      </c>
      <c r="T37" s="11" t="s">
        <v>143</v>
      </c>
      <c r="U37" s="11" t="s">
        <v>67</v>
      </c>
      <c r="V37" s="11" t="s">
        <v>68</v>
      </c>
      <c r="W37" t="str">
        <f t="shared" si="19"/>
        <v>30%</v>
      </c>
      <c r="X37" t="str">
        <f t="shared" si="20"/>
        <v>20%</v>
      </c>
      <c r="Y37" t="str">
        <f t="shared" si="21"/>
        <v>20%</v>
      </c>
      <c r="Z37" t="str">
        <f t="shared" si="22"/>
        <v>Great Sales</v>
      </c>
      <c r="AA37" t="b">
        <f t="shared" si="23"/>
        <v>1</v>
      </c>
      <c r="AB37">
        <f t="shared" si="24"/>
        <v>1</v>
      </c>
      <c r="AC37" t="str">
        <f t="shared" si="25"/>
        <v>Laptop</v>
      </c>
      <c r="AD37">
        <f t="shared" si="35"/>
        <v>1</v>
      </c>
      <c r="AE37" t="str">
        <f t="shared" si="18"/>
        <v>Credit</v>
      </c>
      <c r="AF37" t="str">
        <f t="shared" si="26"/>
        <v>GREAT SALES</v>
      </c>
      <c r="AG37" t="str">
        <f t="shared" si="27"/>
        <v>True</v>
      </c>
      <c r="AH37" t="str">
        <f t="shared" si="28"/>
        <v>Zahee</v>
      </c>
      <c r="AI37" t="str">
        <f t="shared" si="29"/>
        <v>1</v>
      </c>
      <c r="AJ37" t="s">
        <v>156</v>
      </c>
      <c r="AK37">
        <f t="shared" si="30"/>
        <v>1170</v>
      </c>
      <c r="AL37" t="str">
        <f t="shared" si="31"/>
        <v>Sunday</v>
      </c>
      <c r="AM37" s="9">
        <f t="shared" si="32"/>
        <v>42130</v>
      </c>
      <c r="AN37" t="str">
        <f t="shared" si="33"/>
        <v>1months,28days</v>
      </c>
      <c r="AP37" s="20" t="str">
        <f t="shared" si="34"/>
        <v>||||||||||||||||||||||||||||||||||||||||||||||||||||||||||||||||||||||||||||||||||||||||||</v>
      </c>
      <c r="AQ37" s="17" t="s">
        <v>155</v>
      </c>
      <c r="AR37" s="22"/>
      <c r="BE37" t="str">
        <f ca="1" t="shared" si="17"/>
        <v>Accounting</v>
      </c>
      <c r="BG37" s="5" t="s">
        <v>125</v>
      </c>
      <c r="BH37" s="5"/>
    </row>
    <row r="38" ht="15" spans="1:60">
      <c r="A38" s="11" t="s">
        <v>54</v>
      </c>
      <c r="B38" s="11" t="s">
        <v>88</v>
      </c>
      <c r="C38" s="13" t="s">
        <v>56</v>
      </c>
      <c r="D38" s="12">
        <v>38</v>
      </c>
      <c r="E38" s="11" t="s">
        <v>89</v>
      </c>
      <c r="F38" s="11" t="s">
        <v>72</v>
      </c>
      <c r="G38" s="11">
        <v>27</v>
      </c>
      <c r="H38" s="11" t="s">
        <v>90</v>
      </c>
      <c r="I38" s="14" t="s">
        <v>87</v>
      </c>
      <c r="J38" s="11" t="s">
        <v>91</v>
      </c>
      <c r="K38" s="11" t="s">
        <v>99</v>
      </c>
      <c r="L38" s="11" t="s">
        <v>92</v>
      </c>
      <c r="M38" s="11" t="s">
        <v>93</v>
      </c>
      <c r="N38" s="15">
        <v>40914</v>
      </c>
      <c r="O38" s="11">
        <v>1500</v>
      </c>
      <c r="P38" s="11">
        <v>1500</v>
      </c>
      <c r="Q38" s="11">
        <v>36</v>
      </c>
      <c r="R38" s="11" t="s">
        <v>119</v>
      </c>
      <c r="S38" s="11">
        <v>104</v>
      </c>
      <c r="T38" s="11" t="s">
        <v>157</v>
      </c>
      <c r="U38" s="11" t="s">
        <v>158</v>
      </c>
      <c r="V38" s="11" t="s">
        <v>68</v>
      </c>
      <c r="W38" t="str">
        <f t="shared" si="19"/>
        <v>30%</v>
      </c>
      <c r="X38" t="str">
        <f t="shared" si="20"/>
        <v>20%</v>
      </c>
      <c r="Y38" t="str">
        <f t="shared" si="21"/>
        <v>20%</v>
      </c>
      <c r="Z38" t="str">
        <f t="shared" si="22"/>
        <v>Great Sales</v>
      </c>
      <c r="AA38" t="b">
        <f t="shared" si="23"/>
        <v>1</v>
      </c>
      <c r="AB38">
        <f t="shared" si="24"/>
        <v>1</v>
      </c>
      <c r="AC38" t="str">
        <f t="shared" si="25"/>
        <v>ATT</v>
      </c>
      <c r="AD38">
        <f t="shared" si="35"/>
        <v>1</v>
      </c>
      <c r="AE38" t="str">
        <f t="shared" si="18"/>
        <v>Credit</v>
      </c>
      <c r="AF38" t="str">
        <f t="shared" si="26"/>
        <v>GREAT SALES</v>
      </c>
      <c r="AG38" t="str">
        <f t="shared" si="27"/>
        <v>True</v>
      </c>
      <c r="AH38" t="str">
        <f t="shared" si="28"/>
        <v>Hulk </v>
      </c>
      <c r="AI38" t="str">
        <f t="shared" si="29"/>
        <v>4</v>
      </c>
      <c r="AJ38" t="s">
        <v>94</v>
      </c>
      <c r="AK38">
        <f t="shared" si="30"/>
        <v>1950</v>
      </c>
      <c r="AL38" t="str">
        <f t="shared" si="31"/>
        <v>Friday</v>
      </c>
      <c r="AM38" s="9">
        <f t="shared" si="32"/>
        <v>40974</v>
      </c>
      <c r="AN38" t="str">
        <f t="shared" si="33"/>
        <v>2months,0days</v>
      </c>
      <c r="AP38" s="20" t="str">
        <f t="shared" si="34"/>
        <v>||||||||||||||||||||||||||||||||||||||||||||||||||||||||||||||||||||||||||||||||||||||||||||||||||||||||||||||||||||||||||||||||||||||||||||||||||||||</v>
      </c>
      <c r="AQ38" s="17" t="s">
        <v>87</v>
      </c>
      <c r="AR38" s="22"/>
      <c r="BE38" t="str">
        <f ca="1" t="shared" si="17"/>
        <v>Audit</v>
      </c>
      <c r="BG38" s="5" t="s">
        <v>125</v>
      </c>
      <c r="BH38" s="5"/>
    </row>
    <row r="39" ht="15" spans="1:60">
      <c r="A39" s="11" t="s">
        <v>54</v>
      </c>
      <c r="B39" s="11" t="s">
        <v>88</v>
      </c>
      <c r="C39" s="13" t="s">
        <v>56</v>
      </c>
      <c r="D39" s="12">
        <v>38</v>
      </c>
      <c r="E39" s="11" t="s">
        <v>89</v>
      </c>
      <c r="F39" s="11" t="s">
        <v>72</v>
      </c>
      <c r="G39" s="11">
        <v>27</v>
      </c>
      <c r="H39" s="11" t="s">
        <v>90</v>
      </c>
      <c r="I39" s="14" t="s">
        <v>87</v>
      </c>
      <c r="J39" s="11" t="s">
        <v>91</v>
      </c>
      <c r="K39" s="11" t="s">
        <v>62</v>
      </c>
      <c r="L39" s="11" t="s">
        <v>92</v>
      </c>
      <c r="M39" s="11" t="s">
        <v>93</v>
      </c>
      <c r="N39" s="15">
        <v>41645</v>
      </c>
      <c r="O39" s="11">
        <v>1500</v>
      </c>
      <c r="P39" s="11">
        <v>1500</v>
      </c>
      <c r="Q39" s="11">
        <v>36</v>
      </c>
      <c r="R39" s="11" t="s">
        <v>119</v>
      </c>
      <c r="S39" s="11">
        <v>104</v>
      </c>
      <c r="T39" s="11" t="s">
        <v>157</v>
      </c>
      <c r="U39" s="11" t="s">
        <v>158</v>
      </c>
      <c r="V39" s="11" t="s">
        <v>68</v>
      </c>
      <c r="W39" t="str">
        <f t="shared" si="19"/>
        <v>30%</v>
      </c>
      <c r="X39" t="str">
        <f t="shared" si="20"/>
        <v>20%</v>
      </c>
      <c r="Y39" t="str">
        <f t="shared" si="21"/>
        <v>20%</v>
      </c>
      <c r="Z39" t="str">
        <f t="shared" si="22"/>
        <v>Great Sales</v>
      </c>
      <c r="AA39" t="b">
        <f t="shared" si="23"/>
        <v>1</v>
      </c>
      <c r="AB39">
        <f t="shared" si="24"/>
        <v>1</v>
      </c>
      <c r="AC39" t="str">
        <f t="shared" si="25"/>
        <v>ATT</v>
      </c>
      <c r="AD39">
        <f t="shared" si="35"/>
        <v>1</v>
      </c>
      <c r="AE39" t="str">
        <f t="shared" ref="AE39:AE70" si="36">LOOKUP(G39,G39:G153,B39:B153)</f>
        <v>Credit</v>
      </c>
      <c r="AF39" t="str">
        <f t="shared" si="26"/>
        <v>GREAT SALES</v>
      </c>
      <c r="AG39" t="str">
        <f t="shared" si="27"/>
        <v>True</v>
      </c>
      <c r="AH39" t="str">
        <f t="shared" si="28"/>
        <v>Hulk </v>
      </c>
      <c r="AI39" t="str">
        <f t="shared" si="29"/>
        <v>5</v>
      </c>
      <c r="AJ39" t="s">
        <v>94</v>
      </c>
      <c r="AK39">
        <f t="shared" si="30"/>
        <v>1950</v>
      </c>
      <c r="AL39" t="str">
        <f t="shared" si="31"/>
        <v>Monday</v>
      </c>
      <c r="AM39" s="9">
        <f t="shared" si="32"/>
        <v>41704</v>
      </c>
      <c r="AN39" t="str">
        <f t="shared" si="33"/>
        <v>2months,0days</v>
      </c>
      <c r="AP39" s="20" t="str">
        <f t="shared" si="34"/>
        <v>||||||||||||||||||||||||||||||||||||||||||||||||||||||||||||||||||||||||||||||||||||||||||||||||||||||||||||||||||||||||||||||||||||||||||||||||||||||</v>
      </c>
      <c r="AQ39" s="17" t="s">
        <v>87</v>
      </c>
      <c r="AR39" s="22"/>
      <c r="BE39" t="str">
        <f ca="1" t="shared" si="17"/>
        <v>Audit</v>
      </c>
      <c r="BG39" s="5" t="s">
        <v>88</v>
      </c>
      <c r="BH39" s="5"/>
    </row>
    <row r="40" ht="15" spans="1:60">
      <c r="A40" s="11" t="s">
        <v>73</v>
      </c>
      <c r="B40" s="11" t="s">
        <v>124</v>
      </c>
      <c r="C40" s="13" t="s">
        <v>75</v>
      </c>
      <c r="D40" s="12">
        <v>24</v>
      </c>
      <c r="E40" s="11" t="s">
        <v>128</v>
      </c>
      <c r="F40" s="11" t="s">
        <v>85</v>
      </c>
      <c r="G40" s="11">
        <v>16</v>
      </c>
      <c r="H40" s="11" t="s">
        <v>159</v>
      </c>
      <c r="I40" s="14" t="s">
        <v>160</v>
      </c>
      <c r="J40" s="11" t="s">
        <v>133</v>
      </c>
      <c r="K40" s="11" t="s">
        <v>62</v>
      </c>
      <c r="L40" s="11" t="s">
        <v>107</v>
      </c>
      <c r="M40" s="11" t="s">
        <v>82</v>
      </c>
      <c r="N40" s="15">
        <v>40915</v>
      </c>
      <c r="O40" s="11">
        <v>400</v>
      </c>
      <c r="P40" s="11">
        <v>400</v>
      </c>
      <c r="Q40" s="11">
        <v>25</v>
      </c>
      <c r="R40" s="11" t="s">
        <v>65</v>
      </c>
      <c r="S40" s="11">
        <v>104</v>
      </c>
      <c r="T40" s="11" t="s">
        <v>157</v>
      </c>
      <c r="U40" s="11" t="s">
        <v>158</v>
      </c>
      <c r="V40" s="11" t="s">
        <v>68</v>
      </c>
      <c r="W40" t="str">
        <f t="shared" si="19"/>
        <v>30%</v>
      </c>
      <c r="X40" t="str">
        <f t="shared" si="20"/>
        <v>20%</v>
      </c>
      <c r="Y40" t="str">
        <f t="shared" si="21"/>
        <v>20%</v>
      </c>
      <c r="Z40" t="str">
        <f t="shared" si="22"/>
        <v>Poor Sales</v>
      </c>
      <c r="AA40" t="b">
        <f t="shared" si="23"/>
        <v>1</v>
      </c>
      <c r="AB40">
        <f t="shared" si="24"/>
        <v>1</v>
      </c>
      <c r="AC40" t="str">
        <f t="shared" si="25"/>
        <v>Powder</v>
      </c>
      <c r="AD40">
        <f t="shared" si="35"/>
        <v>1</v>
      </c>
      <c r="AE40" t="str">
        <f t="shared" si="36"/>
        <v>Cash</v>
      </c>
      <c r="AF40" t="str">
        <f t="shared" si="26"/>
        <v>POOR SALES</v>
      </c>
      <c r="AG40" t="str">
        <f t="shared" si="27"/>
        <v>True</v>
      </c>
      <c r="AH40" t="str">
        <f t="shared" si="28"/>
        <v>Mark </v>
      </c>
      <c r="AI40" t="str">
        <f t="shared" si="29"/>
        <v>5</v>
      </c>
      <c r="AJ40" t="s">
        <v>98</v>
      </c>
      <c r="AK40">
        <f t="shared" si="30"/>
        <v>520</v>
      </c>
      <c r="AL40" t="str">
        <f t="shared" si="31"/>
        <v>Saturday</v>
      </c>
      <c r="AM40" s="9">
        <f t="shared" si="32"/>
        <v>40974</v>
      </c>
      <c r="AN40" t="str">
        <f t="shared" si="33"/>
        <v>1months,28days</v>
      </c>
      <c r="AO40" s="26">
        <v>0.875</v>
      </c>
      <c r="AP40" s="20" t="str">
        <f t="shared" si="34"/>
        <v>||||||||||||||||||||||||||||||||||||||||</v>
      </c>
      <c r="AQ40" s="17" t="s">
        <v>160</v>
      </c>
      <c r="AR40" s="22"/>
      <c r="BE40" t="str">
        <f ca="1" t="shared" si="17"/>
        <v>Accounting</v>
      </c>
      <c r="BG40" s="5" t="s">
        <v>88</v>
      </c>
      <c r="BH40" s="5"/>
    </row>
    <row r="41" ht="15" spans="1:60">
      <c r="A41" s="11" t="s">
        <v>73</v>
      </c>
      <c r="B41" s="11" t="s">
        <v>124</v>
      </c>
      <c r="C41" s="13" t="s">
        <v>75</v>
      </c>
      <c r="D41" s="12">
        <v>24</v>
      </c>
      <c r="E41" s="11" t="s">
        <v>128</v>
      </c>
      <c r="F41" s="11" t="s">
        <v>85</v>
      </c>
      <c r="G41" s="11">
        <v>16</v>
      </c>
      <c r="H41" s="11" t="s">
        <v>159</v>
      </c>
      <c r="I41" s="14" t="s">
        <v>160</v>
      </c>
      <c r="J41" s="11" t="s">
        <v>133</v>
      </c>
      <c r="K41" s="11" t="s">
        <v>62</v>
      </c>
      <c r="L41" s="11" t="s">
        <v>107</v>
      </c>
      <c r="M41" s="11" t="s">
        <v>82</v>
      </c>
      <c r="N41" s="15">
        <v>41646</v>
      </c>
      <c r="O41" s="11">
        <v>400</v>
      </c>
      <c r="P41" s="11">
        <v>400</v>
      </c>
      <c r="Q41" s="11">
        <v>25</v>
      </c>
      <c r="R41" s="11" t="s">
        <v>65</v>
      </c>
      <c r="S41" s="11">
        <v>104</v>
      </c>
      <c r="T41" s="11" t="s">
        <v>157</v>
      </c>
      <c r="U41" s="11" t="s">
        <v>158</v>
      </c>
      <c r="V41" s="11" t="s">
        <v>68</v>
      </c>
      <c r="W41" t="str">
        <f t="shared" si="19"/>
        <v>30%</v>
      </c>
      <c r="X41" t="str">
        <f t="shared" si="20"/>
        <v>20%</v>
      </c>
      <c r="Y41" t="str">
        <f t="shared" si="21"/>
        <v>20%</v>
      </c>
      <c r="Z41" t="str">
        <f t="shared" si="22"/>
        <v>Poor Sales</v>
      </c>
      <c r="AA41" t="b">
        <f t="shared" si="23"/>
        <v>1</v>
      </c>
      <c r="AB41">
        <f t="shared" si="24"/>
        <v>1</v>
      </c>
      <c r="AC41" t="str">
        <f t="shared" si="25"/>
        <v>Powder</v>
      </c>
      <c r="AD41">
        <f t="shared" si="35"/>
        <v>1</v>
      </c>
      <c r="AE41" t="str">
        <f t="shared" si="36"/>
        <v>Debit</v>
      </c>
      <c r="AF41" t="str">
        <f t="shared" si="26"/>
        <v>POOR SALES</v>
      </c>
      <c r="AG41" t="str">
        <f t="shared" si="27"/>
        <v>True</v>
      </c>
      <c r="AH41" t="str">
        <f t="shared" si="28"/>
        <v>Mark </v>
      </c>
      <c r="AI41" t="str">
        <f t="shared" si="29"/>
        <v>6</v>
      </c>
      <c r="AJ41" t="s">
        <v>98</v>
      </c>
      <c r="AK41">
        <f t="shared" si="30"/>
        <v>520</v>
      </c>
      <c r="AL41" t="str">
        <f t="shared" si="31"/>
        <v>Tuesday</v>
      </c>
      <c r="AM41" s="9">
        <f t="shared" si="32"/>
        <v>41704</v>
      </c>
      <c r="AN41" t="str">
        <f t="shared" si="33"/>
        <v>1months,27days</v>
      </c>
      <c r="AP41" s="20" t="str">
        <f t="shared" si="34"/>
        <v>||||||||||||||||||||||||||||||||||||||||</v>
      </c>
      <c r="AQ41" s="17" t="s">
        <v>160</v>
      </c>
      <c r="AR41" s="22"/>
      <c r="BE41" t="str">
        <f ca="1" t="shared" si="17"/>
        <v>Accounting</v>
      </c>
      <c r="BG41" s="5" t="s">
        <v>124</v>
      </c>
      <c r="BH41" s="5"/>
    </row>
    <row r="42" ht="15" spans="1:60">
      <c r="A42" s="11" t="s">
        <v>109</v>
      </c>
      <c r="B42" s="11" t="s">
        <v>125</v>
      </c>
      <c r="C42" s="13" t="s">
        <v>111</v>
      </c>
      <c r="D42" s="12">
        <v>14</v>
      </c>
      <c r="E42" s="11" t="s">
        <v>146</v>
      </c>
      <c r="F42" s="11" t="s">
        <v>83</v>
      </c>
      <c r="G42" s="11">
        <v>5</v>
      </c>
      <c r="H42" s="11" t="s">
        <v>161</v>
      </c>
      <c r="I42" s="14" t="s">
        <v>162</v>
      </c>
      <c r="J42" s="11" t="s">
        <v>149</v>
      </c>
      <c r="K42" s="11" t="s">
        <v>116</v>
      </c>
      <c r="L42" s="11" t="s">
        <v>150</v>
      </c>
      <c r="M42" s="11" t="s">
        <v>118</v>
      </c>
      <c r="N42" s="15">
        <v>40913</v>
      </c>
      <c r="O42" s="11">
        <v>400</v>
      </c>
      <c r="P42" s="11">
        <v>500</v>
      </c>
      <c r="Q42" s="11">
        <v>14</v>
      </c>
      <c r="R42" s="11" t="s">
        <v>65</v>
      </c>
      <c r="S42" s="11">
        <v>104</v>
      </c>
      <c r="T42" s="11" t="s">
        <v>157</v>
      </c>
      <c r="U42" s="11" t="s">
        <v>158</v>
      </c>
      <c r="V42" s="11" t="s">
        <v>68</v>
      </c>
      <c r="W42" t="str">
        <f t="shared" si="19"/>
        <v>30%</v>
      </c>
      <c r="X42" t="str">
        <f t="shared" si="20"/>
        <v>20%</v>
      </c>
      <c r="Y42" t="str">
        <f t="shared" si="21"/>
        <v>20%</v>
      </c>
      <c r="Z42" t="str">
        <f t="shared" si="22"/>
        <v>Poor Sales</v>
      </c>
      <c r="AA42" t="b">
        <f t="shared" si="23"/>
        <v>1</v>
      </c>
      <c r="AB42">
        <f t="shared" si="24"/>
        <v>1</v>
      </c>
      <c r="AC42" t="str">
        <f t="shared" si="25"/>
        <v>Laptop</v>
      </c>
      <c r="AD42">
        <f t="shared" si="35"/>
        <v>1</v>
      </c>
      <c r="AE42" t="str">
        <f t="shared" si="36"/>
        <v>Debit</v>
      </c>
      <c r="AF42" t="str">
        <f t="shared" si="26"/>
        <v>POOR SALES</v>
      </c>
      <c r="AG42" t="str">
        <f t="shared" si="27"/>
        <v>True</v>
      </c>
      <c r="AH42" t="str">
        <f t="shared" si="28"/>
        <v>Rahul</v>
      </c>
      <c r="AI42" t="str">
        <f t="shared" si="29"/>
        <v>3</v>
      </c>
      <c r="AJ42" t="s">
        <v>136</v>
      </c>
      <c r="AK42">
        <f t="shared" si="30"/>
        <v>520</v>
      </c>
      <c r="AL42" t="str">
        <f t="shared" si="31"/>
        <v>Thursday</v>
      </c>
      <c r="AM42" s="9">
        <f t="shared" si="32"/>
        <v>40974</v>
      </c>
      <c r="AN42" t="str">
        <f t="shared" si="33"/>
        <v>2months,1days</v>
      </c>
      <c r="AO42" s="9">
        <v>42217</v>
      </c>
      <c r="AP42" s="20" t="str">
        <f t="shared" si="34"/>
        <v>||||||||||||||||||||||||||||||||||||||||</v>
      </c>
      <c r="AQ42" s="17" t="s">
        <v>162</v>
      </c>
      <c r="AR42" s="22"/>
      <c r="BE42" t="str">
        <f ca="1" t="shared" si="17"/>
        <v>Sales</v>
      </c>
      <c r="BG42" s="5" t="s">
        <v>124</v>
      </c>
      <c r="BH42" s="5"/>
    </row>
    <row r="43" ht="15" spans="1:60">
      <c r="A43" s="11" t="s">
        <v>109</v>
      </c>
      <c r="B43" s="11" t="s">
        <v>125</v>
      </c>
      <c r="C43" s="13" t="s">
        <v>111</v>
      </c>
      <c r="D43" s="12">
        <v>14</v>
      </c>
      <c r="E43" s="11" t="s">
        <v>146</v>
      </c>
      <c r="F43" s="11" t="s">
        <v>83</v>
      </c>
      <c r="G43" s="11">
        <v>5</v>
      </c>
      <c r="H43" s="11" t="s">
        <v>161</v>
      </c>
      <c r="I43" s="14" t="s">
        <v>162</v>
      </c>
      <c r="J43" s="11" t="s">
        <v>149</v>
      </c>
      <c r="K43" s="11" t="s">
        <v>116</v>
      </c>
      <c r="L43" s="11" t="s">
        <v>150</v>
      </c>
      <c r="M43" s="11" t="s">
        <v>118</v>
      </c>
      <c r="N43" s="15">
        <v>41644</v>
      </c>
      <c r="O43" s="11">
        <v>400</v>
      </c>
      <c r="P43" s="11">
        <v>500</v>
      </c>
      <c r="Q43" s="11">
        <v>14</v>
      </c>
      <c r="R43" s="11" t="s">
        <v>65</v>
      </c>
      <c r="S43" s="11">
        <v>104</v>
      </c>
      <c r="T43" s="11" t="s">
        <v>157</v>
      </c>
      <c r="U43" s="11" t="s">
        <v>158</v>
      </c>
      <c r="V43" s="11" t="s">
        <v>68</v>
      </c>
      <c r="W43" t="str">
        <f t="shared" si="19"/>
        <v>30%</v>
      </c>
      <c r="X43" t="str">
        <f t="shared" si="20"/>
        <v>20%</v>
      </c>
      <c r="Y43" t="str">
        <f t="shared" si="21"/>
        <v>20%</v>
      </c>
      <c r="Z43" t="str">
        <f t="shared" si="22"/>
        <v>Poor Sales</v>
      </c>
      <c r="AA43" t="b">
        <f t="shared" si="23"/>
        <v>1</v>
      </c>
      <c r="AB43">
        <f t="shared" si="24"/>
        <v>1</v>
      </c>
      <c r="AC43" t="str">
        <f t="shared" si="25"/>
        <v>Laptop</v>
      </c>
      <c r="AD43">
        <f t="shared" si="35"/>
        <v>1</v>
      </c>
      <c r="AE43" t="str">
        <f t="shared" si="36"/>
        <v>Debit</v>
      </c>
      <c r="AF43" t="str">
        <f t="shared" si="26"/>
        <v>POOR SALES</v>
      </c>
      <c r="AG43" t="str">
        <f t="shared" si="27"/>
        <v>True</v>
      </c>
      <c r="AH43" t="str">
        <f t="shared" si="28"/>
        <v>Rahul</v>
      </c>
      <c r="AI43" t="str">
        <f t="shared" si="29"/>
        <v>4</v>
      </c>
      <c r="AJ43" t="s">
        <v>136</v>
      </c>
      <c r="AK43">
        <f t="shared" si="30"/>
        <v>520</v>
      </c>
      <c r="AL43" t="str">
        <f t="shared" si="31"/>
        <v>Sunday</v>
      </c>
      <c r="AM43" s="9">
        <f t="shared" si="32"/>
        <v>41704</v>
      </c>
      <c r="AN43" t="str">
        <f t="shared" si="33"/>
        <v>2months,1days</v>
      </c>
      <c r="AP43" s="20" t="str">
        <f t="shared" si="34"/>
        <v>||||||||||||||||||||||||||||||||||||||||</v>
      </c>
      <c r="AQ43" s="17" t="s">
        <v>162</v>
      </c>
      <c r="AR43" s="22"/>
      <c r="BE43" t="str">
        <f ca="1" t="shared" si="17"/>
        <v>Sales</v>
      </c>
      <c r="BG43" s="5" t="s">
        <v>125</v>
      </c>
      <c r="BH43" s="5"/>
    </row>
    <row r="44" ht="15" spans="1:60">
      <c r="A44" s="11" t="s">
        <v>73</v>
      </c>
      <c r="B44" s="11" t="s">
        <v>124</v>
      </c>
      <c r="C44" s="13" t="s">
        <v>75</v>
      </c>
      <c r="D44" s="12">
        <v>24</v>
      </c>
      <c r="E44" s="11" t="s">
        <v>128</v>
      </c>
      <c r="F44" s="11" t="s">
        <v>85</v>
      </c>
      <c r="G44" s="11">
        <v>15</v>
      </c>
      <c r="H44" s="11" t="s">
        <v>163</v>
      </c>
      <c r="I44" s="14" t="s">
        <v>164</v>
      </c>
      <c r="J44" s="11" t="s">
        <v>106</v>
      </c>
      <c r="K44" s="11" t="s">
        <v>62</v>
      </c>
      <c r="L44" s="11" t="s">
        <v>81</v>
      </c>
      <c r="M44" s="11" t="s">
        <v>82</v>
      </c>
      <c r="N44" s="15">
        <v>40914</v>
      </c>
      <c r="O44" s="11">
        <v>300</v>
      </c>
      <c r="P44" s="11">
        <v>300</v>
      </c>
      <c r="Q44" s="11">
        <v>24</v>
      </c>
      <c r="R44" s="11" t="s">
        <v>119</v>
      </c>
      <c r="S44" s="11">
        <v>103</v>
      </c>
      <c r="T44" s="11" t="s">
        <v>165</v>
      </c>
      <c r="U44" s="11" t="s">
        <v>166</v>
      </c>
      <c r="V44" s="11" t="s">
        <v>123</v>
      </c>
      <c r="W44" t="str">
        <f t="shared" si="19"/>
        <v>30%</v>
      </c>
      <c r="X44" t="str">
        <f t="shared" si="20"/>
        <v>20%</v>
      </c>
      <c r="Y44">
        <f t="shared" si="21"/>
        <v>0</v>
      </c>
      <c r="Z44" t="str">
        <f t="shared" si="22"/>
        <v>Poor Sales</v>
      </c>
      <c r="AA44" t="b">
        <f t="shared" si="23"/>
        <v>1</v>
      </c>
      <c r="AB44">
        <f t="shared" si="24"/>
        <v>45</v>
      </c>
      <c r="AC44" t="str">
        <f t="shared" si="25"/>
        <v>Powder</v>
      </c>
      <c r="AD44">
        <f t="shared" si="35"/>
        <v>45</v>
      </c>
      <c r="AE44" t="str">
        <f t="shared" si="36"/>
        <v>Credit</v>
      </c>
      <c r="AF44" t="str">
        <f t="shared" si="26"/>
        <v>POOR SALES</v>
      </c>
      <c r="AG44" t="str">
        <f t="shared" si="27"/>
        <v>True</v>
      </c>
      <c r="AH44" t="str">
        <f t="shared" si="28"/>
        <v>Bret </v>
      </c>
      <c r="AI44" t="str">
        <f t="shared" si="29"/>
        <v>4</v>
      </c>
      <c r="AJ44" t="s">
        <v>167</v>
      </c>
      <c r="AK44">
        <f t="shared" si="30"/>
        <v>390</v>
      </c>
      <c r="AL44" t="str">
        <f t="shared" si="31"/>
        <v>Friday</v>
      </c>
      <c r="AM44" s="9">
        <f t="shared" si="32"/>
        <v>40974</v>
      </c>
      <c r="AN44" t="str">
        <f t="shared" si="33"/>
        <v>2months,0days</v>
      </c>
      <c r="AO44" s="27">
        <v>0.291666666666667</v>
      </c>
      <c r="AP44" s="20" t="str">
        <f t="shared" si="34"/>
        <v>||||||||||||||||||||||||||||||</v>
      </c>
      <c r="AQ44" s="17" t="s">
        <v>164</v>
      </c>
      <c r="AR44" s="22"/>
      <c r="BE44" t="str">
        <f ca="1" t="shared" si="17"/>
        <v>Accounting</v>
      </c>
      <c r="BG44" s="5" t="s">
        <v>125</v>
      </c>
      <c r="BH44" s="5"/>
    </row>
    <row r="45" ht="15" spans="1:60">
      <c r="A45" s="11" t="s">
        <v>73</v>
      </c>
      <c r="B45" s="11" t="s">
        <v>124</v>
      </c>
      <c r="C45" s="13" t="s">
        <v>75</v>
      </c>
      <c r="D45" s="12">
        <v>24</v>
      </c>
      <c r="E45" s="11" t="s">
        <v>128</v>
      </c>
      <c r="F45" s="11" t="s">
        <v>85</v>
      </c>
      <c r="G45" s="11">
        <v>15</v>
      </c>
      <c r="H45" s="11" t="s">
        <v>163</v>
      </c>
      <c r="I45" s="14" t="s">
        <v>164</v>
      </c>
      <c r="J45" s="11" t="s">
        <v>106</v>
      </c>
      <c r="K45" s="11" t="s">
        <v>62</v>
      </c>
      <c r="L45" s="11" t="s">
        <v>81</v>
      </c>
      <c r="M45" s="11" t="s">
        <v>82</v>
      </c>
      <c r="N45" s="15">
        <v>41645</v>
      </c>
      <c r="O45" s="11">
        <v>300</v>
      </c>
      <c r="P45" s="11">
        <v>300</v>
      </c>
      <c r="Q45" s="11">
        <v>24</v>
      </c>
      <c r="R45" s="11" t="s">
        <v>119</v>
      </c>
      <c r="S45" s="11">
        <v>103</v>
      </c>
      <c r="T45" s="11" t="s">
        <v>165</v>
      </c>
      <c r="U45" s="11" t="s">
        <v>166</v>
      </c>
      <c r="V45" s="11" t="s">
        <v>123</v>
      </c>
      <c r="W45" t="str">
        <f t="shared" si="19"/>
        <v>30%</v>
      </c>
      <c r="X45" t="str">
        <f t="shared" si="20"/>
        <v>20%</v>
      </c>
      <c r="Y45">
        <f t="shared" si="21"/>
        <v>0</v>
      </c>
      <c r="Z45" t="str">
        <f t="shared" si="22"/>
        <v>Poor Sales</v>
      </c>
      <c r="AA45" t="b">
        <f t="shared" si="23"/>
        <v>1</v>
      </c>
      <c r="AB45">
        <f t="shared" si="24"/>
        <v>44</v>
      </c>
      <c r="AC45" t="str">
        <f t="shared" si="25"/>
        <v>Powder</v>
      </c>
      <c r="AD45">
        <f t="shared" si="35"/>
        <v>44</v>
      </c>
      <c r="AE45" t="str">
        <f t="shared" si="36"/>
        <v>Credit</v>
      </c>
      <c r="AF45" t="str">
        <f t="shared" si="26"/>
        <v>POOR SALES</v>
      </c>
      <c r="AG45" t="str">
        <f t="shared" si="27"/>
        <v>True</v>
      </c>
      <c r="AH45" t="str">
        <f t="shared" si="28"/>
        <v>Bret </v>
      </c>
      <c r="AI45" t="str">
        <f t="shared" si="29"/>
        <v>5</v>
      </c>
      <c r="AJ45" t="s">
        <v>167</v>
      </c>
      <c r="AK45">
        <f t="shared" si="30"/>
        <v>390</v>
      </c>
      <c r="AL45" t="str">
        <f t="shared" si="31"/>
        <v>Monday</v>
      </c>
      <c r="AM45" s="9">
        <f t="shared" si="32"/>
        <v>41704</v>
      </c>
      <c r="AN45" t="str">
        <f t="shared" si="33"/>
        <v>2months,0days</v>
      </c>
      <c r="AP45" s="20" t="str">
        <f t="shared" si="34"/>
        <v>||||||||||||||||||||||||||||||</v>
      </c>
      <c r="AQ45" s="17" t="s">
        <v>164</v>
      </c>
      <c r="AR45" s="22"/>
      <c r="BE45" t="str">
        <f ca="1" t="shared" si="17"/>
        <v>Accounting</v>
      </c>
      <c r="BG45" s="5" t="s">
        <v>124</v>
      </c>
      <c r="BH45" s="5"/>
    </row>
    <row r="46" ht="15" spans="1:60">
      <c r="A46" s="11" t="s">
        <v>54</v>
      </c>
      <c r="B46" s="11" t="s">
        <v>88</v>
      </c>
      <c r="C46" s="13" t="s">
        <v>56</v>
      </c>
      <c r="D46" s="12">
        <v>38</v>
      </c>
      <c r="E46" s="11" t="s">
        <v>89</v>
      </c>
      <c r="F46" s="11" t="s">
        <v>72</v>
      </c>
      <c r="G46" s="11">
        <v>26</v>
      </c>
      <c r="H46" s="11" t="s">
        <v>126</v>
      </c>
      <c r="I46" s="14" t="s">
        <v>95</v>
      </c>
      <c r="J46" s="11" t="s">
        <v>61</v>
      </c>
      <c r="K46" s="11" t="s">
        <v>99</v>
      </c>
      <c r="L46" s="11" t="s">
        <v>127</v>
      </c>
      <c r="M46" s="11" t="s">
        <v>93</v>
      </c>
      <c r="N46" s="15">
        <v>40913</v>
      </c>
      <c r="O46" s="11">
        <v>1400</v>
      </c>
      <c r="P46" s="11">
        <v>1400</v>
      </c>
      <c r="Q46" s="11">
        <v>35</v>
      </c>
      <c r="R46" s="11" t="s">
        <v>119</v>
      </c>
      <c r="S46" s="11">
        <v>103</v>
      </c>
      <c r="T46" s="11" t="s">
        <v>165</v>
      </c>
      <c r="U46" s="11" t="s">
        <v>166</v>
      </c>
      <c r="V46" s="11" t="s">
        <v>123</v>
      </c>
      <c r="W46" t="str">
        <f t="shared" si="19"/>
        <v>30%</v>
      </c>
      <c r="X46" t="str">
        <f t="shared" si="20"/>
        <v>20%</v>
      </c>
      <c r="Y46" t="str">
        <f t="shared" si="21"/>
        <v>20%</v>
      </c>
      <c r="Z46" t="str">
        <f t="shared" si="22"/>
        <v>Great Sales</v>
      </c>
      <c r="AA46" t="b">
        <f t="shared" si="23"/>
        <v>1</v>
      </c>
      <c r="AB46">
        <f t="shared" si="24"/>
        <v>1</v>
      </c>
      <c r="AC46" t="str">
        <f t="shared" si="25"/>
        <v>ATT</v>
      </c>
      <c r="AD46">
        <f t="shared" si="35"/>
        <v>1</v>
      </c>
      <c r="AE46" t="str">
        <f t="shared" si="36"/>
        <v>Credit</v>
      </c>
      <c r="AF46" t="str">
        <f t="shared" si="26"/>
        <v>GREAT SALES</v>
      </c>
      <c r="AG46" t="str">
        <f t="shared" si="27"/>
        <v>True</v>
      </c>
      <c r="AH46" t="str">
        <f t="shared" si="28"/>
        <v>Javed</v>
      </c>
      <c r="AI46" t="str">
        <f t="shared" si="29"/>
        <v>3</v>
      </c>
      <c r="AJ46" t="s">
        <v>95</v>
      </c>
      <c r="AK46">
        <f t="shared" si="30"/>
        <v>1820</v>
      </c>
      <c r="AL46" t="str">
        <f t="shared" si="31"/>
        <v>Thursday</v>
      </c>
      <c r="AM46" s="9">
        <f t="shared" si="32"/>
        <v>40974</v>
      </c>
      <c r="AN46" t="str">
        <f t="shared" si="33"/>
        <v>2months,1days</v>
      </c>
      <c r="AP46" s="20" t="str">
        <f t="shared" si="34"/>
        <v>||||||||||||||||||||||||||||||||||||||||||||||||||||||||||||||||||||||||||||||||||||||||||||||||||||||||||||||||||||||||||||||||||||||||||||</v>
      </c>
      <c r="AQ46" s="17" t="s">
        <v>95</v>
      </c>
      <c r="AR46" s="22"/>
      <c r="BE46" t="str">
        <f ca="1" t="shared" si="17"/>
        <v>Audit</v>
      </c>
      <c r="BG46" s="5" t="s">
        <v>124</v>
      </c>
      <c r="BH46" s="5"/>
    </row>
    <row r="47" ht="15" spans="1:60">
      <c r="A47" s="11" t="s">
        <v>54</v>
      </c>
      <c r="B47" s="11" t="s">
        <v>88</v>
      </c>
      <c r="C47" s="13" t="s">
        <v>56</v>
      </c>
      <c r="D47" s="12">
        <v>38</v>
      </c>
      <c r="E47" s="11" t="s">
        <v>89</v>
      </c>
      <c r="F47" s="11" t="s">
        <v>72</v>
      </c>
      <c r="G47" s="11">
        <v>26</v>
      </c>
      <c r="H47" s="11" t="s">
        <v>126</v>
      </c>
      <c r="I47" s="14" t="s">
        <v>95</v>
      </c>
      <c r="J47" s="11" t="s">
        <v>61</v>
      </c>
      <c r="K47" s="11" t="s">
        <v>62</v>
      </c>
      <c r="L47" s="11" t="s">
        <v>127</v>
      </c>
      <c r="M47" s="11" t="s">
        <v>93</v>
      </c>
      <c r="N47" s="15">
        <v>41644</v>
      </c>
      <c r="O47" s="11">
        <v>1400</v>
      </c>
      <c r="P47" s="11">
        <v>1400</v>
      </c>
      <c r="Q47" s="11">
        <v>35</v>
      </c>
      <c r="R47" s="11" t="s">
        <v>119</v>
      </c>
      <c r="S47" s="11">
        <v>103</v>
      </c>
      <c r="T47" s="11" t="s">
        <v>165</v>
      </c>
      <c r="U47" s="11" t="s">
        <v>166</v>
      </c>
      <c r="V47" s="11" t="s">
        <v>123</v>
      </c>
      <c r="W47" t="str">
        <f t="shared" si="19"/>
        <v>30%</v>
      </c>
      <c r="X47" t="str">
        <f t="shared" si="20"/>
        <v>20%</v>
      </c>
      <c r="Y47" t="str">
        <f t="shared" si="21"/>
        <v>20%</v>
      </c>
      <c r="Z47" t="str">
        <f t="shared" si="22"/>
        <v>Great Sales</v>
      </c>
      <c r="AA47" t="b">
        <f t="shared" si="23"/>
        <v>1</v>
      </c>
      <c r="AB47">
        <f t="shared" si="24"/>
        <v>1</v>
      </c>
      <c r="AC47" t="str">
        <f t="shared" si="25"/>
        <v>ATT</v>
      </c>
      <c r="AD47">
        <f t="shared" si="35"/>
        <v>1</v>
      </c>
      <c r="AE47" t="str">
        <f t="shared" si="36"/>
        <v>Credit</v>
      </c>
      <c r="AF47" t="str">
        <f t="shared" si="26"/>
        <v>GREAT SALES</v>
      </c>
      <c r="AG47" t="str">
        <f t="shared" si="27"/>
        <v>True</v>
      </c>
      <c r="AH47" t="str">
        <f t="shared" si="28"/>
        <v>Javed</v>
      </c>
      <c r="AI47" t="str">
        <f t="shared" si="29"/>
        <v>4</v>
      </c>
      <c r="AJ47" t="s">
        <v>95</v>
      </c>
      <c r="AK47">
        <f t="shared" si="30"/>
        <v>1820</v>
      </c>
      <c r="AL47" t="str">
        <f t="shared" si="31"/>
        <v>Sunday</v>
      </c>
      <c r="AM47" s="9">
        <f t="shared" si="32"/>
        <v>41704</v>
      </c>
      <c r="AN47" t="str">
        <f t="shared" si="33"/>
        <v>2months,1days</v>
      </c>
      <c r="AP47" s="20" t="str">
        <f t="shared" si="34"/>
        <v>||||||||||||||||||||||||||||||||||||||||||||||||||||||||||||||||||||||||||||||||||||||||||||||||||||||||||||||||||||||||||||||||||||||||||||</v>
      </c>
      <c r="AQ47" s="17" t="s">
        <v>95</v>
      </c>
      <c r="AR47" s="22"/>
      <c r="BE47" t="str">
        <f ca="1" t="shared" si="17"/>
        <v>Audit</v>
      </c>
      <c r="BG47" s="5" t="s">
        <v>88</v>
      </c>
      <c r="BH47" s="5"/>
    </row>
    <row r="48" ht="15" spans="1:60">
      <c r="A48" s="11" t="s">
        <v>109</v>
      </c>
      <c r="B48" s="11" t="s">
        <v>110</v>
      </c>
      <c r="C48" s="13" t="s">
        <v>111</v>
      </c>
      <c r="D48" s="12">
        <v>10</v>
      </c>
      <c r="E48" s="11" t="s">
        <v>112</v>
      </c>
      <c r="F48" s="11" t="s">
        <v>86</v>
      </c>
      <c r="G48" s="11">
        <v>4</v>
      </c>
      <c r="H48" s="11" t="s">
        <v>168</v>
      </c>
      <c r="I48" s="14" t="s">
        <v>169</v>
      </c>
      <c r="J48" s="11" t="s">
        <v>115</v>
      </c>
      <c r="K48" s="11" t="s">
        <v>116</v>
      </c>
      <c r="L48" s="11" t="s">
        <v>117</v>
      </c>
      <c r="M48" s="11" t="s">
        <v>118</v>
      </c>
      <c r="N48" s="15">
        <v>40912</v>
      </c>
      <c r="O48" s="11">
        <v>350</v>
      </c>
      <c r="P48" s="11">
        <v>400</v>
      </c>
      <c r="Q48" s="11">
        <v>13</v>
      </c>
      <c r="R48" s="11" t="s">
        <v>65</v>
      </c>
      <c r="S48" s="11">
        <v>103</v>
      </c>
      <c r="T48" s="11" t="s">
        <v>165</v>
      </c>
      <c r="U48" s="11" t="s">
        <v>166</v>
      </c>
      <c r="V48" s="11" t="s">
        <v>123</v>
      </c>
      <c r="W48" t="str">
        <f t="shared" si="19"/>
        <v>30%</v>
      </c>
      <c r="X48" t="str">
        <f t="shared" si="20"/>
        <v>20%</v>
      </c>
      <c r="Y48" t="str">
        <f t="shared" si="21"/>
        <v>20%</v>
      </c>
      <c r="Z48" t="str">
        <f t="shared" si="22"/>
        <v>Poor Sales</v>
      </c>
      <c r="AA48" t="b">
        <f t="shared" si="23"/>
        <v>1</v>
      </c>
      <c r="AB48">
        <f t="shared" si="24"/>
        <v>1</v>
      </c>
      <c r="AC48" t="str">
        <f t="shared" si="25"/>
        <v>Laptop</v>
      </c>
      <c r="AD48">
        <f t="shared" si="35"/>
        <v>1</v>
      </c>
      <c r="AE48" t="str">
        <f t="shared" si="36"/>
        <v>Debit</v>
      </c>
      <c r="AF48" t="str">
        <f t="shared" si="26"/>
        <v>POOR SALES</v>
      </c>
      <c r="AG48" t="str">
        <f t="shared" si="27"/>
        <v>True</v>
      </c>
      <c r="AH48" t="str">
        <f t="shared" si="28"/>
        <v>Mohsi</v>
      </c>
      <c r="AI48" t="str">
        <f t="shared" si="29"/>
        <v>2</v>
      </c>
      <c r="AJ48" t="s">
        <v>170</v>
      </c>
      <c r="AK48">
        <f t="shared" si="30"/>
        <v>455</v>
      </c>
      <c r="AL48" t="str">
        <f t="shared" si="31"/>
        <v>Wednesday</v>
      </c>
      <c r="AM48" s="9">
        <f t="shared" si="32"/>
        <v>40974</v>
      </c>
      <c r="AN48" t="str">
        <f t="shared" si="33"/>
        <v>2months,2days</v>
      </c>
      <c r="AO48" s="9">
        <v>42186</v>
      </c>
      <c r="AP48" s="20" t="str">
        <f t="shared" si="34"/>
        <v>|||||||||||||||||||||||||||||||||||</v>
      </c>
      <c r="AQ48" s="17" t="s">
        <v>169</v>
      </c>
      <c r="AR48" s="22"/>
      <c r="BE48" t="str">
        <f ca="1" t="shared" si="17"/>
        <v>Sales</v>
      </c>
      <c r="BG48" s="5" t="s">
        <v>88</v>
      </c>
      <c r="BH48" s="5"/>
    </row>
    <row r="49" ht="15" spans="1:60">
      <c r="A49" s="11" t="s">
        <v>109</v>
      </c>
      <c r="B49" s="11" t="s">
        <v>110</v>
      </c>
      <c r="C49" s="13" t="s">
        <v>111</v>
      </c>
      <c r="D49" s="12">
        <v>10</v>
      </c>
      <c r="E49" s="11" t="s">
        <v>112</v>
      </c>
      <c r="F49" s="11" t="s">
        <v>86</v>
      </c>
      <c r="G49" s="11">
        <v>4</v>
      </c>
      <c r="H49" s="11" t="s">
        <v>168</v>
      </c>
      <c r="I49" s="14" t="s">
        <v>169</v>
      </c>
      <c r="J49" s="11" t="s">
        <v>115</v>
      </c>
      <c r="K49" s="11" t="s">
        <v>116</v>
      </c>
      <c r="L49" s="11" t="s">
        <v>117</v>
      </c>
      <c r="M49" s="11" t="s">
        <v>118</v>
      </c>
      <c r="N49" s="15">
        <v>41643</v>
      </c>
      <c r="O49" s="11">
        <v>350</v>
      </c>
      <c r="P49" s="11">
        <v>400</v>
      </c>
      <c r="Q49" s="11">
        <v>13</v>
      </c>
      <c r="R49" s="11" t="s">
        <v>65</v>
      </c>
      <c r="S49" s="11">
        <v>103</v>
      </c>
      <c r="T49" s="11" t="s">
        <v>165</v>
      </c>
      <c r="U49" s="11" t="s">
        <v>166</v>
      </c>
      <c r="V49" s="11" t="s">
        <v>123</v>
      </c>
      <c r="W49" t="str">
        <f t="shared" si="19"/>
        <v>30%</v>
      </c>
      <c r="X49" t="str">
        <f t="shared" si="20"/>
        <v>20%</v>
      </c>
      <c r="Y49" t="str">
        <f t="shared" si="21"/>
        <v>20%</v>
      </c>
      <c r="Z49" t="str">
        <f t="shared" si="22"/>
        <v>Poor Sales</v>
      </c>
      <c r="AA49" t="b">
        <f t="shared" si="23"/>
        <v>1</v>
      </c>
      <c r="AB49">
        <f t="shared" si="24"/>
        <v>1</v>
      </c>
      <c r="AC49" t="str">
        <f t="shared" si="25"/>
        <v>Laptop</v>
      </c>
      <c r="AD49">
        <f t="shared" si="35"/>
        <v>1</v>
      </c>
      <c r="AE49" t="str">
        <f t="shared" si="36"/>
        <v>Debit</v>
      </c>
      <c r="AF49" t="str">
        <f t="shared" si="26"/>
        <v>POOR SALES</v>
      </c>
      <c r="AG49" t="str">
        <f t="shared" si="27"/>
        <v>True</v>
      </c>
      <c r="AH49" t="str">
        <f t="shared" si="28"/>
        <v>Mohsi</v>
      </c>
      <c r="AI49" t="str">
        <f t="shared" si="29"/>
        <v>3</v>
      </c>
      <c r="AJ49" t="s">
        <v>170</v>
      </c>
      <c r="AK49">
        <f t="shared" si="30"/>
        <v>455</v>
      </c>
      <c r="AL49" t="str">
        <f t="shared" si="31"/>
        <v>Saturday</v>
      </c>
      <c r="AM49" s="9">
        <f t="shared" si="32"/>
        <v>41704</v>
      </c>
      <c r="AN49" t="str">
        <f t="shared" si="33"/>
        <v>2months,2days</v>
      </c>
      <c r="AP49" s="20" t="str">
        <f t="shared" si="34"/>
        <v>|||||||||||||||||||||||||||||||||||</v>
      </c>
      <c r="AQ49" s="17" t="s">
        <v>169</v>
      </c>
      <c r="AR49" s="22"/>
      <c r="BE49" t="str">
        <f ca="1" t="shared" si="17"/>
        <v>Sales</v>
      </c>
      <c r="BG49" s="5" t="s">
        <v>110</v>
      </c>
      <c r="BH49" s="5"/>
    </row>
    <row r="50" ht="15" spans="1:60">
      <c r="A50" s="11" t="s">
        <v>109</v>
      </c>
      <c r="B50" s="11" t="s">
        <v>125</v>
      </c>
      <c r="C50" s="13" t="s">
        <v>111</v>
      </c>
      <c r="D50" s="12">
        <v>14</v>
      </c>
      <c r="E50" s="11" t="s">
        <v>146</v>
      </c>
      <c r="F50" s="11" t="s">
        <v>83</v>
      </c>
      <c r="G50" s="11">
        <v>7</v>
      </c>
      <c r="H50" s="11" t="s">
        <v>171</v>
      </c>
      <c r="I50" s="14" t="s">
        <v>172</v>
      </c>
      <c r="J50" s="11" t="s">
        <v>149</v>
      </c>
      <c r="K50" s="11" t="s">
        <v>116</v>
      </c>
      <c r="L50" s="11" t="s">
        <v>150</v>
      </c>
      <c r="M50" s="11" t="s">
        <v>118</v>
      </c>
      <c r="N50" s="15">
        <v>41339</v>
      </c>
      <c r="O50" s="11">
        <v>700</v>
      </c>
      <c r="P50" s="11">
        <v>700</v>
      </c>
      <c r="Q50" s="11">
        <v>16</v>
      </c>
      <c r="R50" s="11" t="s">
        <v>65</v>
      </c>
      <c r="S50" s="11">
        <v>103</v>
      </c>
      <c r="T50" s="11" t="s">
        <v>165</v>
      </c>
      <c r="U50" s="11" t="s">
        <v>166</v>
      </c>
      <c r="V50" s="11" t="s">
        <v>123</v>
      </c>
      <c r="W50" t="str">
        <f t="shared" si="19"/>
        <v>30%</v>
      </c>
      <c r="X50" t="str">
        <f t="shared" si="20"/>
        <v>20%</v>
      </c>
      <c r="Y50" t="str">
        <f t="shared" si="21"/>
        <v>20%</v>
      </c>
      <c r="Z50" t="str">
        <f t="shared" si="22"/>
        <v>Moderate Sales</v>
      </c>
      <c r="AA50" t="b">
        <f t="shared" si="23"/>
        <v>1</v>
      </c>
      <c r="AB50">
        <f t="shared" si="24"/>
        <v>1</v>
      </c>
      <c r="AC50" t="str">
        <f t="shared" si="25"/>
        <v>Laptop</v>
      </c>
      <c r="AD50">
        <f t="shared" si="35"/>
        <v>1</v>
      </c>
      <c r="AE50" t="str">
        <f t="shared" si="36"/>
        <v>Debit</v>
      </c>
      <c r="AF50" t="str">
        <f t="shared" si="26"/>
        <v>MODERATE SALES</v>
      </c>
      <c r="AG50" t="str">
        <f t="shared" si="27"/>
        <v>True</v>
      </c>
      <c r="AH50" t="str">
        <f t="shared" si="28"/>
        <v>Viru </v>
      </c>
      <c r="AI50" t="str">
        <f t="shared" si="29"/>
        <v>9</v>
      </c>
      <c r="AJ50" t="s">
        <v>173</v>
      </c>
      <c r="AK50">
        <f t="shared" si="30"/>
        <v>910</v>
      </c>
      <c r="AL50" t="str">
        <f t="shared" si="31"/>
        <v>Wednesday</v>
      </c>
      <c r="AM50" s="9">
        <f t="shared" si="32"/>
        <v>41400</v>
      </c>
      <c r="AN50" t="str">
        <f t="shared" si="33"/>
        <v>2months,0days</v>
      </c>
      <c r="AP50" s="20" t="str">
        <f t="shared" si="34"/>
        <v>||||||||||||||||||||||||||||||||||||||||||||||||||||||||||||||||||||||</v>
      </c>
      <c r="AQ50" s="17" t="s">
        <v>172</v>
      </c>
      <c r="AR50" s="22"/>
      <c r="BE50" t="str">
        <f ca="1" t="shared" si="17"/>
        <v>Sales</v>
      </c>
      <c r="BG50" s="5" t="s">
        <v>110</v>
      </c>
      <c r="BH50" s="5"/>
    </row>
    <row r="51" ht="15" spans="1:60">
      <c r="A51" s="11" t="s">
        <v>109</v>
      </c>
      <c r="B51" s="11" t="s">
        <v>125</v>
      </c>
      <c r="C51" s="13" t="s">
        <v>111</v>
      </c>
      <c r="D51" s="12">
        <v>14</v>
      </c>
      <c r="E51" s="11" t="s">
        <v>146</v>
      </c>
      <c r="F51" s="11" t="s">
        <v>83</v>
      </c>
      <c r="G51" s="11">
        <v>7</v>
      </c>
      <c r="H51" s="11" t="s">
        <v>171</v>
      </c>
      <c r="I51" s="14" t="s">
        <v>172</v>
      </c>
      <c r="J51" s="11" t="s">
        <v>149</v>
      </c>
      <c r="K51" s="11" t="s">
        <v>116</v>
      </c>
      <c r="L51" s="11" t="s">
        <v>150</v>
      </c>
      <c r="M51" s="11" t="s">
        <v>118</v>
      </c>
      <c r="N51" s="15">
        <v>42069</v>
      </c>
      <c r="O51" s="11">
        <v>700</v>
      </c>
      <c r="P51" s="11">
        <v>700</v>
      </c>
      <c r="Q51" s="11">
        <v>16</v>
      </c>
      <c r="R51" s="11" t="s">
        <v>65</v>
      </c>
      <c r="S51" s="11">
        <v>103</v>
      </c>
      <c r="T51" s="11" t="s">
        <v>165</v>
      </c>
      <c r="U51" s="11" t="s">
        <v>166</v>
      </c>
      <c r="V51" s="11" t="s">
        <v>123</v>
      </c>
      <c r="W51" t="str">
        <f t="shared" si="19"/>
        <v>30%</v>
      </c>
      <c r="X51" t="str">
        <f t="shared" si="20"/>
        <v>20%</v>
      </c>
      <c r="Y51" t="str">
        <f t="shared" si="21"/>
        <v>20%</v>
      </c>
      <c r="Z51" t="str">
        <f t="shared" si="22"/>
        <v>Moderate Sales</v>
      </c>
      <c r="AA51" t="b">
        <f t="shared" si="23"/>
        <v>1</v>
      </c>
      <c r="AB51">
        <f t="shared" si="24"/>
        <v>1</v>
      </c>
      <c r="AC51" t="str">
        <f t="shared" si="25"/>
        <v>Laptop</v>
      </c>
      <c r="AD51">
        <f t="shared" si="35"/>
        <v>1</v>
      </c>
      <c r="AE51" t="str">
        <f t="shared" si="36"/>
        <v>Credit</v>
      </c>
      <c r="AF51" t="str">
        <f t="shared" si="26"/>
        <v>MODERATE SALES</v>
      </c>
      <c r="AG51" t="str">
        <f t="shared" si="27"/>
        <v>True</v>
      </c>
      <c r="AH51" t="str">
        <f t="shared" si="28"/>
        <v>Viru </v>
      </c>
      <c r="AI51" t="str">
        <f t="shared" si="29"/>
        <v>9</v>
      </c>
      <c r="AJ51" t="s">
        <v>173</v>
      </c>
      <c r="AK51">
        <f t="shared" si="30"/>
        <v>910</v>
      </c>
      <c r="AL51" t="str">
        <f t="shared" si="31"/>
        <v>Friday</v>
      </c>
      <c r="AM51" s="9">
        <f t="shared" si="32"/>
        <v>42130</v>
      </c>
      <c r="AN51" t="str">
        <f t="shared" si="33"/>
        <v>2months,0days</v>
      </c>
      <c r="AP51" s="20" t="str">
        <f t="shared" si="34"/>
        <v>||||||||||||||||||||||||||||||||||||||||||||||||||||||||||||||||||||||</v>
      </c>
      <c r="AQ51" s="17" t="s">
        <v>172</v>
      </c>
      <c r="AR51" s="22"/>
      <c r="BE51" t="str">
        <f ca="1" t="shared" si="17"/>
        <v>Sales</v>
      </c>
      <c r="BG51" s="5" t="s">
        <v>125</v>
      </c>
      <c r="BH51" s="5"/>
    </row>
    <row r="52" ht="15" spans="1:60">
      <c r="A52" s="11" t="s">
        <v>109</v>
      </c>
      <c r="B52" s="11" t="s">
        <v>125</v>
      </c>
      <c r="C52" s="13" t="s">
        <v>111</v>
      </c>
      <c r="D52" s="12">
        <v>14</v>
      </c>
      <c r="E52" s="11" t="s">
        <v>146</v>
      </c>
      <c r="F52" s="11" t="s">
        <v>83</v>
      </c>
      <c r="G52" s="11">
        <v>8</v>
      </c>
      <c r="H52" s="11" t="s">
        <v>147</v>
      </c>
      <c r="I52" s="14" t="s">
        <v>148</v>
      </c>
      <c r="J52" s="11" t="s">
        <v>149</v>
      </c>
      <c r="K52" s="11" t="s">
        <v>116</v>
      </c>
      <c r="L52" s="11" t="s">
        <v>150</v>
      </c>
      <c r="M52" s="11" t="s">
        <v>118</v>
      </c>
      <c r="N52" s="15">
        <v>41340</v>
      </c>
      <c r="O52" s="11">
        <v>800</v>
      </c>
      <c r="P52" s="11">
        <v>800</v>
      </c>
      <c r="Q52" s="11">
        <v>17</v>
      </c>
      <c r="R52" s="11" t="s">
        <v>65</v>
      </c>
      <c r="S52" s="11">
        <v>106</v>
      </c>
      <c r="T52" s="11" t="s">
        <v>174</v>
      </c>
      <c r="U52" s="11" t="s">
        <v>166</v>
      </c>
      <c r="V52" s="11" t="s">
        <v>123</v>
      </c>
      <c r="W52" t="str">
        <f t="shared" si="19"/>
        <v>30%</v>
      </c>
      <c r="X52" t="str">
        <f t="shared" si="20"/>
        <v>20%</v>
      </c>
      <c r="Y52" t="str">
        <f t="shared" si="21"/>
        <v>20%</v>
      </c>
      <c r="Z52" t="str">
        <f t="shared" si="22"/>
        <v>Moderate Sales</v>
      </c>
      <c r="AA52" t="b">
        <f t="shared" si="23"/>
        <v>1</v>
      </c>
      <c r="AB52">
        <f t="shared" si="24"/>
        <v>1</v>
      </c>
      <c r="AC52" t="str">
        <f t="shared" si="25"/>
        <v>Laptop</v>
      </c>
      <c r="AD52">
        <f t="shared" si="35"/>
        <v>1</v>
      </c>
      <c r="AE52" t="str">
        <f t="shared" si="36"/>
        <v>Credit</v>
      </c>
      <c r="AF52" t="str">
        <f t="shared" si="26"/>
        <v>MODERATE SALES</v>
      </c>
      <c r="AG52" t="str">
        <f t="shared" si="27"/>
        <v>True</v>
      </c>
      <c r="AH52" t="str">
        <f t="shared" si="28"/>
        <v>Gauta</v>
      </c>
      <c r="AI52" t="str">
        <f t="shared" si="29"/>
        <v>0</v>
      </c>
      <c r="AJ52" t="s">
        <v>148</v>
      </c>
      <c r="AK52">
        <f t="shared" si="30"/>
        <v>1040</v>
      </c>
      <c r="AL52" t="str">
        <f t="shared" si="31"/>
        <v>Thursday</v>
      </c>
      <c r="AM52" s="9">
        <f t="shared" si="32"/>
        <v>41400</v>
      </c>
      <c r="AN52" t="str">
        <f t="shared" si="33"/>
        <v>1months,29days</v>
      </c>
      <c r="AP52" s="20" t="str">
        <f t="shared" si="34"/>
        <v>||||||||||||||||||||||||||||||||||||||||||||||||||||||||||||||||||||||||||||||||</v>
      </c>
      <c r="AQ52" s="17" t="s">
        <v>148</v>
      </c>
      <c r="AR52" s="22"/>
      <c r="BE52" t="str">
        <f ca="1" t="shared" si="17"/>
        <v>Sales</v>
      </c>
      <c r="BG52" s="5" t="s">
        <v>125</v>
      </c>
      <c r="BH52" s="5"/>
    </row>
    <row r="53" ht="15" spans="1:60">
      <c r="A53" s="11" t="s">
        <v>109</v>
      </c>
      <c r="B53" s="11" t="s">
        <v>125</v>
      </c>
      <c r="C53" s="13" t="s">
        <v>111</v>
      </c>
      <c r="D53" s="12">
        <v>14</v>
      </c>
      <c r="E53" s="11" t="s">
        <v>146</v>
      </c>
      <c r="F53" s="11" t="s">
        <v>83</v>
      </c>
      <c r="G53" s="11">
        <v>8</v>
      </c>
      <c r="H53" s="11" t="s">
        <v>147</v>
      </c>
      <c r="I53" s="14" t="s">
        <v>148</v>
      </c>
      <c r="J53" s="11" t="s">
        <v>149</v>
      </c>
      <c r="K53" s="11" t="s">
        <v>116</v>
      </c>
      <c r="L53" s="11" t="s">
        <v>150</v>
      </c>
      <c r="M53" s="11" t="s">
        <v>118</v>
      </c>
      <c r="N53" s="15">
        <v>42070</v>
      </c>
      <c r="O53" s="11">
        <v>800</v>
      </c>
      <c r="P53" s="11">
        <v>800</v>
      </c>
      <c r="Q53" s="11">
        <v>17</v>
      </c>
      <c r="R53" s="11" t="s">
        <v>65</v>
      </c>
      <c r="S53" s="11">
        <v>106</v>
      </c>
      <c r="T53" s="11" t="s">
        <v>174</v>
      </c>
      <c r="U53" s="11" t="s">
        <v>166</v>
      </c>
      <c r="V53" s="11" t="s">
        <v>123</v>
      </c>
      <c r="W53" t="str">
        <f t="shared" si="19"/>
        <v>30%</v>
      </c>
      <c r="X53" t="str">
        <f t="shared" si="20"/>
        <v>20%</v>
      </c>
      <c r="Y53" t="str">
        <f t="shared" si="21"/>
        <v>20%</v>
      </c>
      <c r="Z53" t="str">
        <f t="shared" si="22"/>
        <v>Moderate Sales</v>
      </c>
      <c r="AA53" t="b">
        <f t="shared" si="23"/>
        <v>1</v>
      </c>
      <c r="AB53">
        <f t="shared" si="24"/>
        <v>1</v>
      </c>
      <c r="AC53" t="str">
        <f t="shared" si="25"/>
        <v>Laptop</v>
      </c>
      <c r="AD53">
        <f t="shared" si="35"/>
        <v>1</v>
      </c>
      <c r="AE53" t="str">
        <f t="shared" si="36"/>
        <v>Credit</v>
      </c>
      <c r="AF53" t="str">
        <f t="shared" si="26"/>
        <v>MODERATE SALES</v>
      </c>
      <c r="AG53" t="str">
        <f t="shared" si="27"/>
        <v>True</v>
      </c>
      <c r="AH53" t="str">
        <f t="shared" si="28"/>
        <v>Gauta</v>
      </c>
      <c r="AI53" t="str">
        <f t="shared" si="29"/>
        <v>0</v>
      </c>
      <c r="AJ53" t="s">
        <v>148</v>
      </c>
      <c r="AK53">
        <f t="shared" si="30"/>
        <v>1040</v>
      </c>
      <c r="AL53" t="str">
        <f t="shared" si="31"/>
        <v>Saturday</v>
      </c>
      <c r="AM53" s="9">
        <f t="shared" si="32"/>
        <v>42130</v>
      </c>
      <c r="AN53" t="str">
        <f t="shared" si="33"/>
        <v>1months,29days</v>
      </c>
      <c r="AP53" s="20" t="str">
        <f t="shared" si="34"/>
        <v>||||||||||||||||||||||||||||||||||||||||||||||||||||||||||||||||||||||||||||||||</v>
      </c>
      <c r="AQ53" s="17" t="s">
        <v>148</v>
      </c>
      <c r="AR53" s="22"/>
      <c r="BE53" t="str">
        <f ca="1" t="shared" si="17"/>
        <v>Sales</v>
      </c>
      <c r="BG53" s="5" t="s">
        <v>125</v>
      </c>
      <c r="BH53" s="5"/>
    </row>
    <row r="54" ht="15" spans="1:60">
      <c r="A54" s="11" t="s">
        <v>54</v>
      </c>
      <c r="B54" s="11" t="s">
        <v>55</v>
      </c>
      <c r="C54" s="13" t="s">
        <v>56</v>
      </c>
      <c r="D54" s="12">
        <v>30</v>
      </c>
      <c r="E54" s="11" t="s">
        <v>57</v>
      </c>
      <c r="F54" s="11" t="s">
        <v>58</v>
      </c>
      <c r="G54" s="11">
        <v>23</v>
      </c>
      <c r="H54" s="11" t="s">
        <v>175</v>
      </c>
      <c r="I54" s="14" t="s">
        <v>84</v>
      </c>
      <c r="J54" s="11" t="s">
        <v>91</v>
      </c>
      <c r="K54" s="11" t="s">
        <v>62</v>
      </c>
      <c r="L54" s="11" t="s">
        <v>63</v>
      </c>
      <c r="M54" s="11" t="s">
        <v>64</v>
      </c>
      <c r="N54" s="15">
        <v>41336</v>
      </c>
      <c r="O54" s="11">
        <v>550</v>
      </c>
      <c r="P54" s="11">
        <v>1100</v>
      </c>
      <c r="Q54" s="11">
        <v>32</v>
      </c>
      <c r="R54" s="11" t="s">
        <v>65</v>
      </c>
      <c r="S54" s="11">
        <v>106</v>
      </c>
      <c r="T54" s="11" t="s">
        <v>174</v>
      </c>
      <c r="U54" s="11" t="s">
        <v>166</v>
      </c>
      <c r="V54" s="11" t="s">
        <v>123</v>
      </c>
      <c r="W54" t="str">
        <f t="shared" si="19"/>
        <v>30%</v>
      </c>
      <c r="X54" t="str">
        <f t="shared" si="20"/>
        <v>20%</v>
      </c>
      <c r="Y54" t="str">
        <f t="shared" si="21"/>
        <v>20%</v>
      </c>
      <c r="Z54" t="str">
        <f t="shared" si="22"/>
        <v>Moderate Sales</v>
      </c>
      <c r="AA54" t="b">
        <f t="shared" si="23"/>
        <v>1</v>
      </c>
      <c r="AB54">
        <f t="shared" si="24"/>
        <v>1</v>
      </c>
      <c r="AC54" t="str">
        <f t="shared" si="25"/>
        <v>ATT</v>
      </c>
      <c r="AD54">
        <f t="shared" si="35"/>
        <v>1</v>
      </c>
      <c r="AE54" t="str">
        <f t="shared" si="36"/>
        <v>Credit</v>
      </c>
      <c r="AF54" t="str">
        <f t="shared" si="26"/>
        <v>MODERATE SALES</v>
      </c>
      <c r="AG54" t="str">
        <f t="shared" si="27"/>
        <v>True</v>
      </c>
      <c r="AH54" t="str">
        <f t="shared" si="28"/>
        <v>Geoff</v>
      </c>
      <c r="AI54" t="str">
        <f t="shared" si="29"/>
        <v>6</v>
      </c>
      <c r="AJ54" t="s">
        <v>84</v>
      </c>
      <c r="AK54">
        <f t="shared" si="30"/>
        <v>715</v>
      </c>
      <c r="AL54" t="str">
        <f t="shared" si="31"/>
        <v>Sunday</v>
      </c>
      <c r="AM54" s="9">
        <f t="shared" si="32"/>
        <v>41400</v>
      </c>
      <c r="AN54" t="str">
        <f t="shared" si="33"/>
        <v>2months,3days</v>
      </c>
      <c r="AP54" s="20" t="str">
        <f t="shared" si="34"/>
        <v>|||||||||||||||||||||||||||||||||||||||||||||||||||||||</v>
      </c>
      <c r="AQ54" s="17" t="s">
        <v>84</v>
      </c>
      <c r="AR54" s="22"/>
      <c r="BE54" t="str">
        <f ca="1" t="shared" si="17"/>
        <v>Finance</v>
      </c>
      <c r="BG54" s="5" t="s">
        <v>125</v>
      </c>
      <c r="BH54" s="5"/>
    </row>
    <row r="55" ht="15" spans="1:60">
      <c r="A55" s="11" t="s">
        <v>54</v>
      </c>
      <c r="B55" s="11" t="s">
        <v>55</v>
      </c>
      <c r="C55" s="13" t="s">
        <v>56</v>
      </c>
      <c r="D55" s="12">
        <v>30</v>
      </c>
      <c r="E55" s="11" t="s">
        <v>57</v>
      </c>
      <c r="F55" s="11" t="s">
        <v>58</v>
      </c>
      <c r="G55" s="11">
        <v>23</v>
      </c>
      <c r="H55" s="11" t="s">
        <v>175</v>
      </c>
      <c r="I55" s="14" t="s">
        <v>84</v>
      </c>
      <c r="J55" s="11" t="s">
        <v>91</v>
      </c>
      <c r="K55" s="11" t="s">
        <v>62</v>
      </c>
      <c r="L55" s="11" t="s">
        <v>63</v>
      </c>
      <c r="M55" s="11" t="s">
        <v>64</v>
      </c>
      <c r="N55" s="15">
        <v>42066</v>
      </c>
      <c r="O55" s="11">
        <v>550</v>
      </c>
      <c r="P55" s="11">
        <v>1100</v>
      </c>
      <c r="Q55" s="11">
        <v>32</v>
      </c>
      <c r="R55" s="11" t="s">
        <v>65</v>
      </c>
      <c r="S55" s="11">
        <v>106</v>
      </c>
      <c r="T55" s="11" t="s">
        <v>174</v>
      </c>
      <c r="U55" s="11" t="s">
        <v>166</v>
      </c>
      <c r="V55" s="11" t="s">
        <v>123</v>
      </c>
      <c r="W55" t="str">
        <f t="shared" si="19"/>
        <v>30%</v>
      </c>
      <c r="X55" t="str">
        <f t="shared" si="20"/>
        <v>20%</v>
      </c>
      <c r="Y55" t="str">
        <f t="shared" si="21"/>
        <v>20%</v>
      </c>
      <c r="Z55" t="str">
        <f t="shared" si="22"/>
        <v>Moderate Sales</v>
      </c>
      <c r="AA55" t="b">
        <f t="shared" si="23"/>
        <v>1</v>
      </c>
      <c r="AB55">
        <f t="shared" si="24"/>
        <v>1</v>
      </c>
      <c r="AC55" t="str">
        <f t="shared" si="25"/>
        <v>ATT</v>
      </c>
      <c r="AD55">
        <f t="shared" si="35"/>
        <v>1</v>
      </c>
      <c r="AE55" t="str">
        <f t="shared" si="36"/>
        <v>Cash</v>
      </c>
      <c r="AF55" t="str">
        <f t="shared" si="26"/>
        <v>MODERATE SALES</v>
      </c>
      <c r="AG55" t="str">
        <f t="shared" si="27"/>
        <v>True</v>
      </c>
      <c r="AH55" t="str">
        <f t="shared" si="28"/>
        <v>Geoff</v>
      </c>
      <c r="AI55" t="str">
        <f t="shared" si="29"/>
        <v>6</v>
      </c>
      <c r="AJ55" t="s">
        <v>84</v>
      </c>
      <c r="AK55">
        <f t="shared" si="30"/>
        <v>715</v>
      </c>
      <c r="AL55" t="str">
        <f t="shared" si="31"/>
        <v>Tuesday</v>
      </c>
      <c r="AM55" s="9">
        <f t="shared" si="32"/>
        <v>42130</v>
      </c>
      <c r="AN55" t="str">
        <f t="shared" si="33"/>
        <v>2months,3days</v>
      </c>
      <c r="AP55" s="20" t="str">
        <f t="shared" si="34"/>
        <v>|||||||||||||||||||||||||||||||||||||||||||||||||||||||</v>
      </c>
      <c r="AQ55" s="17" t="s">
        <v>84</v>
      </c>
      <c r="AR55" s="22"/>
      <c r="BE55" t="str">
        <f ca="1" t="shared" si="17"/>
        <v>Finance</v>
      </c>
      <c r="BG55" s="5" t="s">
        <v>55</v>
      </c>
      <c r="BH55" s="5"/>
    </row>
    <row r="56" ht="15" spans="1:60">
      <c r="A56" s="11" t="s">
        <v>73</v>
      </c>
      <c r="B56" s="11" t="s">
        <v>124</v>
      </c>
      <c r="C56" s="13" t="s">
        <v>75</v>
      </c>
      <c r="D56" s="12">
        <v>24</v>
      </c>
      <c r="E56" s="11" t="s">
        <v>128</v>
      </c>
      <c r="F56" s="11" t="s">
        <v>85</v>
      </c>
      <c r="G56" s="11">
        <v>16</v>
      </c>
      <c r="H56" s="11" t="s">
        <v>159</v>
      </c>
      <c r="I56" s="14" t="s">
        <v>160</v>
      </c>
      <c r="J56" s="11" t="s">
        <v>133</v>
      </c>
      <c r="K56" s="11" t="s">
        <v>62</v>
      </c>
      <c r="L56" s="11" t="s">
        <v>107</v>
      </c>
      <c r="M56" s="11" t="s">
        <v>82</v>
      </c>
      <c r="N56" s="15">
        <v>41339</v>
      </c>
      <c r="O56" s="11">
        <v>700</v>
      </c>
      <c r="P56" s="11">
        <v>400</v>
      </c>
      <c r="Q56" s="11">
        <v>25</v>
      </c>
      <c r="R56" s="11" t="s">
        <v>65</v>
      </c>
      <c r="S56" s="11">
        <v>106</v>
      </c>
      <c r="T56" s="11" t="s">
        <v>174</v>
      </c>
      <c r="U56" s="11" t="s">
        <v>166</v>
      </c>
      <c r="V56" s="11" t="s">
        <v>123</v>
      </c>
      <c r="W56" t="str">
        <f t="shared" si="19"/>
        <v>30%</v>
      </c>
      <c r="X56" t="str">
        <f t="shared" si="20"/>
        <v>20%</v>
      </c>
      <c r="Y56" t="str">
        <f t="shared" si="21"/>
        <v>20%</v>
      </c>
      <c r="Z56" t="str">
        <f t="shared" si="22"/>
        <v>Moderate Sales</v>
      </c>
      <c r="AA56" t="b">
        <f t="shared" si="23"/>
        <v>1</v>
      </c>
      <c r="AB56">
        <f t="shared" si="24"/>
        <v>1</v>
      </c>
      <c r="AC56" t="str">
        <f t="shared" si="25"/>
        <v>Powder</v>
      </c>
      <c r="AD56">
        <f t="shared" si="35"/>
        <v>1</v>
      </c>
      <c r="AE56" t="str">
        <f t="shared" si="36"/>
        <v>Debit</v>
      </c>
      <c r="AF56" t="str">
        <f t="shared" si="26"/>
        <v>MODERATE SALES</v>
      </c>
      <c r="AG56" t="str">
        <f t="shared" si="27"/>
        <v>True</v>
      </c>
      <c r="AH56" t="str">
        <f t="shared" si="28"/>
        <v>Mark </v>
      </c>
      <c r="AI56" t="str">
        <f t="shared" si="29"/>
        <v>9</v>
      </c>
      <c r="AJ56" t="s">
        <v>98</v>
      </c>
      <c r="AK56">
        <f t="shared" si="30"/>
        <v>910</v>
      </c>
      <c r="AL56" t="str">
        <f t="shared" si="31"/>
        <v>Wednesday</v>
      </c>
      <c r="AM56" s="9">
        <f t="shared" si="32"/>
        <v>41400</v>
      </c>
      <c r="AN56" t="str">
        <f t="shared" si="33"/>
        <v>2months,0days</v>
      </c>
      <c r="AP56" s="20" t="str">
        <f t="shared" si="34"/>
        <v>||||||||||||||||||||||||||||||||||||||||||||||||||||||||||||||||||||||</v>
      </c>
      <c r="AQ56" s="17" t="s">
        <v>160</v>
      </c>
      <c r="AR56" s="22"/>
      <c r="BE56" t="str">
        <f ca="1" t="shared" si="17"/>
        <v>Accounting</v>
      </c>
      <c r="BG56" s="5" t="s">
        <v>55</v>
      </c>
      <c r="BH56" s="5"/>
    </row>
    <row r="57" ht="15" spans="1:60">
      <c r="A57" s="11" t="s">
        <v>73</v>
      </c>
      <c r="B57" s="11" t="s">
        <v>124</v>
      </c>
      <c r="C57" s="13" t="s">
        <v>75</v>
      </c>
      <c r="D57" s="12">
        <v>24</v>
      </c>
      <c r="E57" s="11" t="s">
        <v>128</v>
      </c>
      <c r="F57" s="11" t="s">
        <v>85</v>
      </c>
      <c r="G57" s="11">
        <v>16</v>
      </c>
      <c r="H57" s="11" t="s">
        <v>159</v>
      </c>
      <c r="I57" s="14" t="s">
        <v>160</v>
      </c>
      <c r="J57" s="11" t="s">
        <v>133</v>
      </c>
      <c r="K57" s="11" t="s">
        <v>62</v>
      </c>
      <c r="L57" s="11" t="s">
        <v>107</v>
      </c>
      <c r="M57" s="11" t="s">
        <v>82</v>
      </c>
      <c r="N57" s="15">
        <v>42069</v>
      </c>
      <c r="O57" s="11">
        <v>700</v>
      </c>
      <c r="P57" s="11">
        <v>400</v>
      </c>
      <c r="Q57" s="11">
        <v>25</v>
      </c>
      <c r="R57" s="11" t="s">
        <v>65</v>
      </c>
      <c r="S57" s="11">
        <v>106</v>
      </c>
      <c r="T57" s="11" t="s">
        <v>174</v>
      </c>
      <c r="U57" s="11" t="s">
        <v>166</v>
      </c>
      <c r="V57" s="11" t="s">
        <v>123</v>
      </c>
      <c r="W57" t="str">
        <f t="shared" si="19"/>
        <v>30%</v>
      </c>
      <c r="X57" t="str">
        <f t="shared" si="20"/>
        <v>20%</v>
      </c>
      <c r="Y57" t="str">
        <f t="shared" si="21"/>
        <v>20%</v>
      </c>
      <c r="Z57" t="str">
        <f t="shared" si="22"/>
        <v>Moderate Sales</v>
      </c>
      <c r="AA57" t="b">
        <f t="shared" si="23"/>
        <v>1</v>
      </c>
      <c r="AB57">
        <f t="shared" si="24"/>
        <v>1</v>
      </c>
      <c r="AC57" t="str">
        <f t="shared" si="25"/>
        <v>Powder</v>
      </c>
      <c r="AD57">
        <f t="shared" si="35"/>
        <v>1</v>
      </c>
      <c r="AE57" t="str">
        <f t="shared" si="36"/>
        <v>Credit</v>
      </c>
      <c r="AF57" t="str">
        <f t="shared" si="26"/>
        <v>MODERATE SALES</v>
      </c>
      <c r="AG57" t="str">
        <f t="shared" si="27"/>
        <v>True</v>
      </c>
      <c r="AH57" t="str">
        <f t="shared" si="28"/>
        <v>Mark </v>
      </c>
      <c r="AI57" t="str">
        <f t="shared" si="29"/>
        <v>9</v>
      </c>
      <c r="AJ57" t="s">
        <v>98</v>
      </c>
      <c r="AK57">
        <f t="shared" si="30"/>
        <v>910</v>
      </c>
      <c r="AL57" t="str">
        <f t="shared" si="31"/>
        <v>Friday</v>
      </c>
      <c r="AM57" s="9">
        <f t="shared" si="32"/>
        <v>42130</v>
      </c>
      <c r="AN57" t="str">
        <f t="shared" si="33"/>
        <v>2months,0days</v>
      </c>
      <c r="AP57" s="20" t="str">
        <f t="shared" si="34"/>
        <v>||||||||||||||||||||||||||||||||||||||||||||||||||||||||||||||||||||||</v>
      </c>
      <c r="AQ57" s="17" t="s">
        <v>160</v>
      </c>
      <c r="AR57" s="22"/>
      <c r="BE57" t="str">
        <f ca="1" t="shared" si="17"/>
        <v>Accounting</v>
      </c>
      <c r="BG57" s="5" t="s">
        <v>124</v>
      </c>
      <c r="BH57" s="5"/>
    </row>
    <row r="58" ht="15" spans="1:60">
      <c r="A58" s="11" t="s">
        <v>54</v>
      </c>
      <c r="B58" s="11" t="s">
        <v>88</v>
      </c>
      <c r="C58" s="13" t="s">
        <v>56</v>
      </c>
      <c r="D58" s="12">
        <v>38</v>
      </c>
      <c r="E58" s="11" t="s">
        <v>89</v>
      </c>
      <c r="F58" s="11" t="s">
        <v>72</v>
      </c>
      <c r="G58" s="11">
        <v>28</v>
      </c>
      <c r="H58" s="11" t="s">
        <v>176</v>
      </c>
      <c r="I58" s="14" t="s">
        <v>120</v>
      </c>
      <c r="J58" s="11" t="s">
        <v>91</v>
      </c>
      <c r="K58" s="11" t="s">
        <v>99</v>
      </c>
      <c r="L58" s="11" t="s">
        <v>177</v>
      </c>
      <c r="M58" s="11" t="s">
        <v>93</v>
      </c>
      <c r="N58" s="15">
        <v>40975</v>
      </c>
      <c r="O58" s="11">
        <v>550</v>
      </c>
      <c r="P58" s="11">
        <v>1500</v>
      </c>
      <c r="Q58" s="11">
        <v>37</v>
      </c>
      <c r="R58" s="11" t="s">
        <v>65</v>
      </c>
      <c r="S58" s="11">
        <v>106</v>
      </c>
      <c r="T58" s="11" t="s">
        <v>174</v>
      </c>
      <c r="U58" s="11" t="s">
        <v>166</v>
      </c>
      <c r="V58" s="11" t="s">
        <v>123</v>
      </c>
      <c r="W58" t="str">
        <f t="shared" si="19"/>
        <v>30%</v>
      </c>
      <c r="X58" t="str">
        <f t="shared" si="20"/>
        <v>20%</v>
      </c>
      <c r="Y58" t="str">
        <f t="shared" si="21"/>
        <v>20%</v>
      </c>
      <c r="Z58" t="str">
        <f t="shared" si="22"/>
        <v>Moderate Sales</v>
      </c>
      <c r="AA58" t="b">
        <f t="shared" si="23"/>
        <v>1</v>
      </c>
      <c r="AB58">
        <f t="shared" si="24"/>
        <v>1</v>
      </c>
      <c r="AC58" t="str">
        <f t="shared" si="25"/>
        <v>ATT</v>
      </c>
      <c r="AD58">
        <f t="shared" si="35"/>
        <v>1</v>
      </c>
      <c r="AE58" t="str">
        <f t="shared" si="36"/>
        <v>Credit</v>
      </c>
      <c r="AF58" t="str">
        <f t="shared" si="26"/>
        <v>MODERATE SALES</v>
      </c>
      <c r="AG58" t="str">
        <f t="shared" si="27"/>
        <v>True</v>
      </c>
      <c r="AH58" t="str">
        <f t="shared" si="28"/>
        <v>Musta</v>
      </c>
      <c r="AI58" t="str">
        <f t="shared" si="29"/>
        <v>5</v>
      </c>
      <c r="AJ58" t="s">
        <v>178</v>
      </c>
      <c r="AK58">
        <f t="shared" si="30"/>
        <v>715</v>
      </c>
      <c r="AL58" t="str">
        <f t="shared" si="31"/>
        <v>Wednesday</v>
      </c>
      <c r="AM58" s="9">
        <f t="shared" si="32"/>
        <v>41035</v>
      </c>
      <c r="AN58" t="str">
        <f t="shared" si="33"/>
        <v>1months,29days</v>
      </c>
      <c r="AP58" s="20" t="str">
        <f t="shared" si="34"/>
        <v>|||||||||||||||||||||||||||||||||||||||||||||||||||||||</v>
      </c>
      <c r="AQ58" s="17" t="s">
        <v>120</v>
      </c>
      <c r="AR58" s="22"/>
      <c r="BE58" t="str">
        <f ca="1" t="shared" si="17"/>
        <v>Audit</v>
      </c>
      <c r="BG58" s="5" t="s">
        <v>124</v>
      </c>
      <c r="BH58" s="5"/>
    </row>
    <row r="59" ht="15" spans="1:60">
      <c r="A59" s="11" t="s">
        <v>54</v>
      </c>
      <c r="B59" s="11" t="s">
        <v>88</v>
      </c>
      <c r="C59" s="13" t="s">
        <v>56</v>
      </c>
      <c r="D59" s="12">
        <v>38</v>
      </c>
      <c r="E59" s="11" t="s">
        <v>89</v>
      </c>
      <c r="F59" s="11" t="s">
        <v>72</v>
      </c>
      <c r="G59" s="11">
        <v>28</v>
      </c>
      <c r="H59" s="11" t="s">
        <v>176</v>
      </c>
      <c r="I59" s="14" t="s">
        <v>120</v>
      </c>
      <c r="J59" s="11" t="s">
        <v>91</v>
      </c>
      <c r="K59" s="11" t="s">
        <v>62</v>
      </c>
      <c r="L59" s="11" t="s">
        <v>177</v>
      </c>
      <c r="M59" s="11" t="s">
        <v>93</v>
      </c>
      <c r="N59" s="15">
        <v>41705</v>
      </c>
      <c r="O59" s="11">
        <v>550</v>
      </c>
      <c r="P59" s="11">
        <v>1500</v>
      </c>
      <c r="Q59" s="11">
        <v>37</v>
      </c>
      <c r="R59" s="11" t="s">
        <v>65</v>
      </c>
      <c r="S59" s="11">
        <v>106</v>
      </c>
      <c r="T59" s="11" t="s">
        <v>174</v>
      </c>
      <c r="U59" s="11" t="s">
        <v>166</v>
      </c>
      <c r="V59" s="11" t="s">
        <v>123</v>
      </c>
      <c r="W59" t="str">
        <f t="shared" si="19"/>
        <v>30%</v>
      </c>
      <c r="X59" t="str">
        <f t="shared" si="20"/>
        <v>20%</v>
      </c>
      <c r="Y59" t="str">
        <f t="shared" si="21"/>
        <v>20%</v>
      </c>
      <c r="Z59" t="str">
        <f t="shared" si="22"/>
        <v>Moderate Sales</v>
      </c>
      <c r="AA59" t="b">
        <f t="shared" si="23"/>
        <v>1</v>
      </c>
      <c r="AB59">
        <f t="shared" si="24"/>
        <v>1</v>
      </c>
      <c r="AC59" t="str">
        <f t="shared" si="25"/>
        <v>ATT</v>
      </c>
      <c r="AD59">
        <f t="shared" si="35"/>
        <v>1</v>
      </c>
      <c r="AE59" t="str">
        <f t="shared" si="36"/>
        <v>Credit</v>
      </c>
      <c r="AF59" t="str">
        <f t="shared" si="26"/>
        <v>MODERATE SALES</v>
      </c>
      <c r="AG59" t="str">
        <f t="shared" si="27"/>
        <v>True</v>
      </c>
      <c r="AH59" t="str">
        <f t="shared" si="28"/>
        <v>Musta</v>
      </c>
      <c r="AI59" t="str">
        <f t="shared" si="29"/>
        <v>5</v>
      </c>
      <c r="AJ59" t="s">
        <v>178</v>
      </c>
      <c r="AK59">
        <f t="shared" si="30"/>
        <v>715</v>
      </c>
      <c r="AL59" t="str">
        <f t="shared" si="31"/>
        <v>Friday</v>
      </c>
      <c r="AM59" s="9">
        <f t="shared" si="32"/>
        <v>41765</v>
      </c>
      <c r="AN59" t="str">
        <f t="shared" si="33"/>
        <v>1months,29days</v>
      </c>
      <c r="AP59" s="20" t="str">
        <f t="shared" si="34"/>
        <v>|||||||||||||||||||||||||||||||||||||||||||||||||||||||</v>
      </c>
      <c r="AQ59" s="17" t="s">
        <v>120</v>
      </c>
      <c r="AR59" s="22"/>
      <c r="BE59" t="str">
        <f ca="1" t="shared" si="17"/>
        <v>Audit</v>
      </c>
      <c r="BG59" s="5" t="s">
        <v>88</v>
      </c>
      <c r="BH59" s="5"/>
    </row>
    <row r="60" ht="15" spans="1:60">
      <c r="A60" s="11" t="s">
        <v>73</v>
      </c>
      <c r="B60" s="11" t="s">
        <v>124</v>
      </c>
      <c r="C60" s="13" t="s">
        <v>75</v>
      </c>
      <c r="D60" s="12">
        <v>24</v>
      </c>
      <c r="E60" s="11" t="s">
        <v>128</v>
      </c>
      <c r="F60" s="11" t="s">
        <v>85</v>
      </c>
      <c r="G60" s="11">
        <v>18</v>
      </c>
      <c r="H60" s="11" t="s">
        <v>179</v>
      </c>
      <c r="I60" s="14" t="s">
        <v>180</v>
      </c>
      <c r="J60" s="11" t="s">
        <v>106</v>
      </c>
      <c r="K60" s="11" t="s">
        <v>62</v>
      </c>
      <c r="L60" s="11" t="s">
        <v>107</v>
      </c>
      <c r="M60" s="11" t="s">
        <v>82</v>
      </c>
      <c r="N60" s="15">
        <v>40917</v>
      </c>
      <c r="O60" s="11">
        <v>550</v>
      </c>
      <c r="P60" s="11">
        <v>600</v>
      </c>
      <c r="Q60" s="11">
        <v>27</v>
      </c>
      <c r="R60" s="11" t="s">
        <v>119</v>
      </c>
      <c r="S60" s="11">
        <v>106</v>
      </c>
      <c r="T60" s="11" t="s">
        <v>174</v>
      </c>
      <c r="U60" s="11" t="s">
        <v>166</v>
      </c>
      <c r="V60" s="11" t="s">
        <v>123</v>
      </c>
      <c r="W60" t="str">
        <f t="shared" si="19"/>
        <v>30%</v>
      </c>
      <c r="X60" t="str">
        <f t="shared" si="20"/>
        <v>20%</v>
      </c>
      <c r="Y60" t="str">
        <f t="shared" si="21"/>
        <v>20%</v>
      </c>
      <c r="Z60" t="str">
        <f t="shared" si="22"/>
        <v>Moderate Sales</v>
      </c>
      <c r="AA60" t="b">
        <f t="shared" si="23"/>
        <v>1</v>
      </c>
      <c r="AB60">
        <f t="shared" si="24"/>
        <v>1</v>
      </c>
      <c r="AC60" t="str">
        <f t="shared" si="25"/>
        <v>Powder</v>
      </c>
      <c r="AD60">
        <f t="shared" si="35"/>
        <v>1</v>
      </c>
      <c r="AE60" t="str">
        <f t="shared" si="36"/>
        <v>Credit</v>
      </c>
      <c r="AF60" t="str">
        <f t="shared" si="26"/>
        <v>MODERATE SALES</v>
      </c>
      <c r="AG60" t="str">
        <f t="shared" si="27"/>
        <v>True</v>
      </c>
      <c r="AH60" t="str">
        <f t="shared" si="28"/>
        <v>Tim</v>
      </c>
      <c r="AI60" t="str">
        <f t="shared" si="29"/>
        <v>7</v>
      </c>
      <c r="AJ60" t="s">
        <v>180</v>
      </c>
      <c r="AK60">
        <f t="shared" si="30"/>
        <v>715</v>
      </c>
      <c r="AL60" t="str">
        <f t="shared" si="31"/>
        <v>Monday</v>
      </c>
      <c r="AM60" s="9">
        <f t="shared" si="32"/>
        <v>40974</v>
      </c>
      <c r="AN60" t="str">
        <f t="shared" si="33"/>
        <v>1months,26days</v>
      </c>
      <c r="AO60" s="27">
        <v>0.583333333333333</v>
      </c>
      <c r="AP60" s="20" t="str">
        <f t="shared" si="34"/>
        <v>|||||||||||||||||||||||||||||||||||||||||||||||||||||||</v>
      </c>
      <c r="AQ60" s="17" t="s">
        <v>180</v>
      </c>
      <c r="AR60" s="22"/>
      <c r="BE60" t="str">
        <f ca="1" t="shared" si="17"/>
        <v>Accounting</v>
      </c>
      <c r="BG60" s="5" t="s">
        <v>88</v>
      </c>
      <c r="BH60" s="5"/>
    </row>
    <row r="61" ht="15" spans="1:60">
      <c r="A61" s="11" t="s">
        <v>73</v>
      </c>
      <c r="B61" s="11" t="s">
        <v>124</v>
      </c>
      <c r="C61" s="13" t="s">
        <v>75</v>
      </c>
      <c r="D61" s="12">
        <v>24</v>
      </c>
      <c r="E61" s="11" t="s">
        <v>128</v>
      </c>
      <c r="F61" s="11" t="s">
        <v>85</v>
      </c>
      <c r="G61" s="11">
        <v>18</v>
      </c>
      <c r="H61" s="11" t="s">
        <v>179</v>
      </c>
      <c r="I61" s="14" t="s">
        <v>180</v>
      </c>
      <c r="J61" s="11" t="s">
        <v>106</v>
      </c>
      <c r="K61" s="11" t="s">
        <v>62</v>
      </c>
      <c r="L61" s="11" t="s">
        <v>107</v>
      </c>
      <c r="M61" s="11" t="s">
        <v>82</v>
      </c>
      <c r="N61" s="15">
        <v>41648</v>
      </c>
      <c r="O61" s="11">
        <v>550</v>
      </c>
      <c r="P61" s="11">
        <v>600</v>
      </c>
      <c r="Q61" s="11">
        <v>27</v>
      </c>
      <c r="R61" s="11" t="s">
        <v>119</v>
      </c>
      <c r="S61" s="11">
        <v>106</v>
      </c>
      <c r="T61" s="11" t="s">
        <v>174</v>
      </c>
      <c r="U61" s="11" t="s">
        <v>166</v>
      </c>
      <c r="V61" s="11" t="s">
        <v>123</v>
      </c>
      <c r="W61" t="str">
        <f t="shared" si="19"/>
        <v>30%</v>
      </c>
      <c r="X61" t="str">
        <f t="shared" si="20"/>
        <v>20%</v>
      </c>
      <c r="Y61" t="str">
        <f t="shared" si="21"/>
        <v>20%</v>
      </c>
      <c r="Z61" t="str">
        <f t="shared" si="22"/>
        <v>Moderate Sales</v>
      </c>
      <c r="AA61" t="b">
        <f t="shared" si="23"/>
        <v>1</v>
      </c>
      <c r="AB61">
        <f t="shared" si="24"/>
        <v>1</v>
      </c>
      <c r="AC61" t="str">
        <f t="shared" si="25"/>
        <v>Powder</v>
      </c>
      <c r="AD61">
        <f t="shared" si="35"/>
        <v>1</v>
      </c>
      <c r="AE61" t="str">
        <f t="shared" si="36"/>
        <v>Credit</v>
      </c>
      <c r="AF61" t="str">
        <f t="shared" si="26"/>
        <v>MODERATE SALES</v>
      </c>
      <c r="AG61" t="str">
        <f t="shared" si="27"/>
        <v>True</v>
      </c>
      <c r="AH61" t="str">
        <f t="shared" si="28"/>
        <v>Tim</v>
      </c>
      <c r="AI61" t="str">
        <f t="shared" si="29"/>
        <v>8</v>
      </c>
      <c r="AJ61" t="s">
        <v>180</v>
      </c>
      <c r="AK61">
        <f t="shared" si="30"/>
        <v>715</v>
      </c>
      <c r="AL61" t="str">
        <f t="shared" si="31"/>
        <v>Thursday</v>
      </c>
      <c r="AM61" s="9">
        <f t="shared" si="32"/>
        <v>41704</v>
      </c>
      <c r="AN61" t="str">
        <f t="shared" si="33"/>
        <v>1months,25days</v>
      </c>
      <c r="AP61" s="20" t="str">
        <f t="shared" si="34"/>
        <v>|||||||||||||||||||||||||||||||||||||||||||||||||||||||</v>
      </c>
      <c r="AQ61" s="17" t="s">
        <v>180</v>
      </c>
      <c r="AR61" s="22"/>
      <c r="BE61" t="str">
        <f ca="1" t="shared" si="17"/>
        <v>Accounting</v>
      </c>
      <c r="BG61" s="5" t="s">
        <v>124</v>
      </c>
      <c r="BH61" s="5"/>
    </row>
    <row r="62" ht="15" spans="1:60">
      <c r="A62" s="11" t="s">
        <v>109</v>
      </c>
      <c r="B62" s="11" t="s">
        <v>125</v>
      </c>
      <c r="C62" s="13" t="s">
        <v>111</v>
      </c>
      <c r="D62" s="12">
        <v>14</v>
      </c>
      <c r="E62" s="11" t="s">
        <v>146</v>
      </c>
      <c r="F62" s="11" t="s">
        <v>83</v>
      </c>
      <c r="G62" s="11">
        <v>7</v>
      </c>
      <c r="H62" s="11" t="s">
        <v>171</v>
      </c>
      <c r="I62" s="14" t="s">
        <v>172</v>
      </c>
      <c r="J62" s="11" t="s">
        <v>149</v>
      </c>
      <c r="K62" s="11" t="s">
        <v>116</v>
      </c>
      <c r="L62" s="11" t="s">
        <v>150</v>
      </c>
      <c r="M62" s="11" t="s">
        <v>118</v>
      </c>
      <c r="N62" s="15">
        <v>40915</v>
      </c>
      <c r="O62" s="11">
        <v>680</v>
      </c>
      <c r="P62" s="11">
        <v>700</v>
      </c>
      <c r="Q62" s="11">
        <v>16</v>
      </c>
      <c r="R62" s="11" t="s">
        <v>65</v>
      </c>
      <c r="S62" s="11">
        <v>106</v>
      </c>
      <c r="T62" s="11" t="s">
        <v>174</v>
      </c>
      <c r="U62" s="11" t="s">
        <v>166</v>
      </c>
      <c r="V62" s="11" t="s">
        <v>123</v>
      </c>
      <c r="W62" t="str">
        <f t="shared" si="19"/>
        <v>30%</v>
      </c>
      <c r="X62" t="str">
        <f t="shared" si="20"/>
        <v>20%</v>
      </c>
      <c r="Y62" t="str">
        <f t="shared" si="21"/>
        <v>20%</v>
      </c>
      <c r="Z62" t="str">
        <f t="shared" si="22"/>
        <v>Moderate Sales</v>
      </c>
      <c r="AA62" t="b">
        <f t="shared" si="23"/>
        <v>1</v>
      </c>
      <c r="AB62">
        <f t="shared" si="24"/>
        <v>1</v>
      </c>
      <c r="AC62" t="str">
        <f t="shared" si="25"/>
        <v>Laptop</v>
      </c>
      <c r="AD62">
        <f t="shared" si="35"/>
        <v>1</v>
      </c>
      <c r="AE62" t="str">
        <f t="shared" si="36"/>
        <v>Credit</v>
      </c>
      <c r="AF62" t="str">
        <f t="shared" si="26"/>
        <v>MODERATE SALES</v>
      </c>
      <c r="AG62" t="str">
        <f t="shared" si="27"/>
        <v>True</v>
      </c>
      <c r="AH62" t="str">
        <f t="shared" si="28"/>
        <v>Viru </v>
      </c>
      <c r="AI62" t="str">
        <f t="shared" si="29"/>
        <v>5</v>
      </c>
      <c r="AJ62" t="s">
        <v>173</v>
      </c>
      <c r="AK62">
        <f t="shared" si="30"/>
        <v>884</v>
      </c>
      <c r="AL62" t="str">
        <f t="shared" si="31"/>
        <v>Saturday</v>
      </c>
      <c r="AM62" s="9">
        <f t="shared" si="32"/>
        <v>40974</v>
      </c>
      <c r="AN62" t="str">
        <f t="shared" si="33"/>
        <v>1months,28days</v>
      </c>
      <c r="AO62" s="9">
        <v>42278</v>
      </c>
      <c r="AP62" s="20" t="str">
        <f t="shared" si="34"/>
        <v>||||||||||||||||||||||||||||||||||||||||||||||||||||||||||||||||||||</v>
      </c>
      <c r="AQ62" s="17" t="s">
        <v>172</v>
      </c>
      <c r="AR62" s="22"/>
      <c r="BE62" t="str">
        <f ca="1" t="shared" si="17"/>
        <v>Sales</v>
      </c>
      <c r="BG62" s="5" t="s">
        <v>124</v>
      </c>
      <c r="BH62" s="5"/>
    </row>
    <row r="63" ht="15" spans="1:60">
      <c r="A63" s="11" t="s">
        <v>109</v>
      </c>
      <c r="B63" s="11" t="s">
        <v>125</v>
      </c>
      <c r="C63" s="13" t="s">
        <v>111</v>
      </c>
      <c r="D63" s="12">
        <v>14</v>
      </c>
      <c r="E63" s="11" t="s">
        <v>146</v>
      </c>
      <c r="F63" s="11" t="s">
        <v>83</v>
      </c>
      <c r="G63" s="11">
        <v>7</v>
      </c>
      <c r="H63" s="11" t="s">
        <v>171</v>
      </c>
      <c r="I63" s="14" t="s">
        <v>172</v>
      </c>
      <c r="J63" s="11" t="s">
        <v>149</v>
      </c>
      <c r="K63" s="11" t="s">
        <v>116</v>
      </c>
      <c r="L63" s="11" t="s">
        <v>150</v>
      </c>
      <c r="M63" s="11" t="s">
        <v>118</v>
      </c>
      <c r="N63" s="15">
        <v>41646</v>
      </c>
      <c r="O63" s="11">
        <v>680</v>
      </c>
      <c r="P63" s="11">
        <v>700</v>
      </c>
      <c r="Q63" s="11">
        <v>16</v>
      </c>
      <c r="R63" s="11" t="s">
        <v>65</v>
      </c>
      <c r="S63" s="11">
        <v>106</v>
      </c>
      <c r="T63" s="11" t="s">
        <v>174</v>
      </c>
      <c r="U63" s="11" t="s">
        <v>166</v>
      </c>
      <c r="V63" s="11" t="s">
        <v>123</v>
      </c>
      <c r="W63" t="str">
        <f t="shared" si="19"/>
        <v>30%</v>
      </c>
      <c r="X63" t="str">
        <f t="shared" si="20"/>
        <v>20%</v>
      </c>
      <c r="Y63" t="str">
        <f t="shared" si="21"/>
        <v>20%</v>
      </c>
      <c r="Z63" t="str">
        <f t="shared" si="22"/>
        <v>Moderate Sales</v>
      </c>
      <c r="AA63" t="b">
        <f t="shared" si="23"/>
        <v>1</v>
      </c>
      <c r="AB63">
        <f t="shared" si="24"/>
        <v>1</v>
      </c>
      <c r="AC63" t="str">
        <f t="shared" si="25"/>
        <v>Laptop</v>
      </c>
      <c r="AD63">
        <f t="shared" si="35"/>
        <v>1</v>
      </c>
      <c r="AE63" t="str">
        <f t="shared" si="36"/>
        <v>Credit</v>
      </c>
      <c r="AF63" t="str">
        <f t="shared" si="26"/>
        <v>MODERATE SALES</v>
      </c>
      <c r="AG63" t="str">
        <f t="shared" si="27"/>
        <v>True</v>
      </c>
      <c r="AH63" t="str">
        <f t="shared" si="28"/>
        <v>Viru </v>
      </c>
      <c r="AI63" t="str">
        <f t="shared" si="29"/>
        <v>6</v>
      </c>
      <c r="AJ63" t="s">
        <v>173</v>
      </c>
      <c r="AK63">
        <f t="shared" si="30"/>
        <v>884</v>
      </c>
      <c r="AL63" t="str">
        <f t="shared" si="31"/>
        <v>Tuesday</v>
      </c>
      <c r="AM63" s="9">
        <f t="shared" si="32"/>
        <v>41704</v>
      </c>
      <c r="AN63" t="str">
        <f t="shared" si="33"/>
        <v>1months,27days</v>
      </c>
      <c r="AP63" s="20" t="str">
        <f t="shared" si="34"/>
        <v>||||||||||||||||||||||||||||||||||||||||||||||||||||||||||||||||||||</v>
      </c>
      <c r="AQ63" s="17" t="s">
        <v>172</v>
      </c>
      <c r="AR63" s="22"/>
      <c r="BE63" t="str">
        <f ca="1" t="shared" si="17"/>
        <v>Sales</v>
      </c>
      <c r="BG63" s="5" t="s">
        <v>125</v>
      </c>
      <c r="BH63" s="5"/>
    </row>
    <row r="64" ht="15" spans="1:60">
      <c r="A64" s="11" t="s">
        <v>54</v>
      </c>
      <c r="B64" s="11" t="s">
        <v>55</v>
      </c>
      <c r="C64" s="13" t="s">
        <v>56</v>
      </c>
      <c r="D64" s="12">
        <v>30</v>
      </c>
      <c r="E64" s="11" t="s">
        <v>57</v>
      </c>
      <c r="F64" s="11" t="s">
        <v>58</v>
      </c>
      <c r="G64" s="11">
        <v>20</v>
      </c>
      <c r="H64" s="11" t="s">
        <v>59</v>
      </c>
      <c r="I64" s="14" t="s">
        <v>60</v>
      </c>
      <c r="J64" s="11" t="s">
        <v>61</v>
      </c>
      <c r="K64" s="11" t="s">
        <v>99</v>
      </c>
      <c r="L64" s="11" t="s">
        <v>63</v>
      </c>
      <c r="M64" s="11" t="s">
        <v>64</v>
      </c>
      <c r="N64" s="15">
        <v>40910</v>
      </c>
      <c r="O64" s="11">
        <v>700</v>
      </c>
      <c r="P64" s="11">
        <v>800</v>
      </c>
      <c r="Q64" s="11">
        <v>29</v>
      </c>
      <c r="R64" s="11" t="s">
        <v>119</v>
      </c>
      <c r="S64" s="11">
        <v>108</v>
      </c>
      <c r="T64" s="11" t="s">
        <v>181</v>
      </c>
      <c r="U64" s="11" t="s">
        <v>182</v>
      </c>
      <c r="V64" s="11" t="s">
        <v>99</v>
      </c>
      <c r="W64" t="str">
        <f t="shared" si="19"/>
        <v>30%</v>
      </c>
      <c r="X64" t="str">
        <f t="shared" si="20"/>
        <v>20%</v>
      </c>
      <c r="Y64" t="str">
        <f t="shared" si="21"/>
        <v>20%</v>
      </c>
      <c r="Z64" t="str">
        <f t="shared" si="22"/>
        <v>Moderate Sales</v>
      </c>
      <c r="AA64" t="b">
        <f t="shared" si="23"/>
        <v>1</v>
      </c>
      <c r="AB64">
        <f t="shared" si="24"/>
        <v>1</v>
      </c>
      <c r="AC64" t="str">
        <f t="shared" si="25"/>
        <v>ATT</v>
      </c>
      <c r="AD64">
        <f t="shared" si="35"/>
        <v>1</v>
      </c>
      <c r="AE64" t="str">
        <f t="shared" si="36"/>
        <v>Cash</v>
      </c>
      <c r="AF64" t="str">
        <f t="shared" si="26"/>
        <v>MODERATE SALES</v>
      </c>
      <c r="AG64" t="str">
        <f t="shared" si="27"/>
        <v>True</v>
      </c>
      <c r="AH64" t="str">
        <f t="shared" si="28"/>
        <v>Angel</v>
      </c>
      <c r="AI64" t="str">
        <f t="shared" si="29"/>
        <v>0</v>
      </c>
      <c r="AJ64" t="s">
        <v>60</v>
      </c>
      <c r="AK64">
        <f t="shared" si="30"/>
        <v>910</v>
      </c>
      <c r="AL64" t="str">
        <f t="shared" si="31"/>
        <v>Monday</v>
      </c>
      <c r="AM64" s="9">
        <f t="shared" si="32"/>
        <v>40974</v>
      </c>
      <c r="AN64" t="str">
        <f t="shared" si="33"/>
        <v>2months,4days</v>
      </c>
      <c r="AO64" s="28">
        <v>20.8</v>
      </c>
      <c r="AP64" s="20" t="str">
        <f t="shared" si="34"/>
        <v>||||||||||||||||||||||||||||||||||||||||||||||||||||||||||||||||||||||</v>
      </c>
      <c r="AQ64" s="17" t="s">
        <v>60</v>
      </c>
      <c r="AR64" s="22"/>
      <c r="BE64" t="str">
        <f ca="1" t="shared" si="17"/>
        <v>Finance</v>
      </c>
      <c r="BG64" s="5" t="s">
        <v>125</v>
      </c>
      <c r="BH64" s="5"/>
    </row>
    <row r="65" ht="15" spans="1:60">
      <c r="A65" s="11" t="s">
        <v>54</v>
      </c>
      <c r="B65" s="11" t="s">
        <v>55</v>
      </c>
      <c r="C65" s="13" t="s">
        <v>56</v>
      </c>
      <c r="D65" s="12">
        <v>30</v>
      </c>
      <c r="E65" s="11" t="s">
        <v>57</v>
      </c>
      <c r="F65" s="11" t="s">
        <v>58</v>
      </c>
      <c r="G65" s="11">
        <v>20</v>
      </c>
      <c r="H65" s="11" t="s">
        <v>59</v>
      </c>
      <c r="I65" s="14" t="s">
        <v>60</v>
      </c>
      <c r="J65" s="11" t="s">
        <v>61</v>
      </c>
      <c r="K65" s="11" t="s">
        <v>62</v>
      </c>
      <c r="L65" s="11" t="s">
        <v>63</v>
      </c>
      <c r="M65" s="11" t="s">
        <v>64</v>
      </c>
      <c r="N65" s="15">
        <v>41641</v>
      </c>
      <c r="O65" s="11">
        <v>700</v>
      </c>
      <c r="P65" s="11">
        <v>800</v>
      </c>
      <c r="Q65" s="11">
        <v>29</v>
      </c>
      <c r="R65" s="11" t="s">
        <v>119</v>
      </c>
      <c r="S65" s="11">
        <v>108</v>
      </c>
      <c r="T65" s="11" t="s">
        <v>181</v>
      </c>
      <c r="U65" s="11" t="s">
        <v>182</v>
      </c>
      <c r="V65" s="11" t="s">
        <v>99</v>
      </c>
      <c r="W65" t="str">
        <f t="shared" si="19"/>
        <v>30%</v>
      </c>
      <c r="X65" t="str">
        <f t="shared" si="20"/>
        <v>20%</v>
      </c>
      <c r="Y65" t="str">
        <f t="shared" si="21"/>
        <v>20%</v>
      </c>
      <c r="Z65" t="str">
        <f t="shared" si="22"/>
        <v>Moderate Sales</v>
      </c>
      <c r="AA65" t="b">
        <f t="shared" si="23"/>
        <v>1</v>
      </c>
      <c r="AB65">
        <f t="shared" si="24"/>
        <v>1</v>
      </c>
      <c r="AC65" t="str">
        <f t="shared" si="25"/>
        <v>ATT</v>
      </c>
      <c r="AD65">
        <f t="shared" si="35"/>
        <v>1</v>
      </c>
      <c r="AE65" t="str">
        <f t="shared" si="36"/>
        <v>Credit</v>
      </c>
      <c r="AF65" t="str">
        <f t="shared" si="26"/>
        <v>MODERATE SALES</v>
      </c>
      <c r="AG65" t="str">
        <f t="shared" si="27"/>
        <v>True</v>
      </c>
      <c r="AH65" t="str">
        <f t="shared" si="28"/>
        <v>Angel</v>
      </c>
      <c r="AI65" t="str">
        <f t="shared" si="29"/>
        <v>1</v>
      </c>
      <c r="AJ65" t="s">
        <v>60</v>
      </c>
      <c r="AK65">
        <f t="shared" si="30"/>
        <v>910</v>
      </c>
      <c r="AL65" t="str">
        <f t="shared" si="31"/>
        <v>Thursday</v>
      </c>
      <c r="AM65" s="9">
        <f t="shared" si="32"/>
        <v>41704</v>
      </c>
      <c r="AN65" t="str">
        <f t="shared" si="33"/>
        <v>2months,4days</v>
      </c>
      <c r="AP65" s="20" t="str">
        <f t="shared" si="34"/>
        <v>||||||||||||||||||||||||||||||||||||||||||||||||||||||||||||||||||||||</v>
      </c>
      <c r="AQ65" s="17" t="s">
        <v>60</v>
      </c>
      <c r="AR65" s="22"/>
      <c r="BE65" t="str">
        <f ca="1" t="shared" si="17"/>
        <v>Finance</v>
      </c>
      <c r="BG65" s="5" t="s">
        <v>55</v>
      </c>
      <c r="BH65" s="5"/>
    </row>
    <row r="66" ht="15" spans="1:60">
      <c r="A66" s="11" t="s">
        <v>54</v>
      </c>
      <c r="B66" s="11" t="s">
        <v>88</v>
      </c>
      <c r="C66" s="13" t="s">
        <v>56</v>
      </c>
      <c r="D66" s="12">
        <v>38</v>
      </c>
      <c r="E66" s="11" t="s">
        <v>89</v>
      </c>
      <c r="F66" s="11" t="s">
        <v>72</v>
      </c>
      <c r="G66" s="11">
        <v>25</v>
      </c>
      <c r="H66" s="11" t="s">
        <v>183</v>
      </c>
      <c r="I66" s="14" t="s">
        <v>96</v>
      </c>
      <c r="J66" s="11" t="s">
        <v>130</v>
      </c>
      <c r="K66" s="11" t="s">
        <v>62</v>
      </c>
      <c r="L66" s="11" t="s">
        <v>63</v>
      </c>
      <c r="M66" s="11" t="s">
        <v>64</v>
      </c>
      <c r="N66" s="15">
        <v>41336</v>
      </c>
      <c r="O66" s="11">
        <v>700</v>
      </c>
      <c r="P66" s="11">
        <v>1300</v>
      </c>
      <c r="Q66" s="11">
        <v>34</v>
      </c>
      <c r="R66" s="11" t="s">
        <v>65</v>
      </c>
      <c r="S66" s="11">
        <v>108</v>
      </c>
      <c r="T66" s="11" t="s">
        <v>181</v>
      </c>
      <c r="U66" s="11" t="s">
        <v>182</v>
      </c>
      <c r="V66" s="11" t="s">
        <v>99</v>
      </c>
      <c r="W66" t="str">
        <f t="shared" ref="W66:W97" si="37">IF(O66&gt;200,"30%",0)</f>
        <v>30%</v>
      </c>
      <c r="X66" t="str">
        <f t="shared" ref="X66:X97" si="38">IF(OR(O66&gt;200,P66&gt;300),"20%",0)</f>
        <v>20%</v>
      </c>
      <c r="Y66" t="str">
        <f t="shared" ref="Y66:Y97" si="39">IF(AND(O66&gt;200,P66&gt;300),"20%",0)</f>
        <v>20%</v>
      </c>
      <c r="Z66" t="str">
        <f t="shared" ref="Z66:Z97" si="40">IF(O66&gt;800,"Great Sales",IF(O66&gt;400,"Moderate Sales","Poor Sales"))</f>
        <v>Moderate Sales</v>
      </c>
      <c r="AA66" t="b">
        <f t="shared" ref="AA66:AA97" si="41">NOT(W66=0)</f>
        <v>1</v>
      </c>
      <c r="AB66">
        <f t="shared" ref="AB66:AB97" si="42">IFERROR(AD66,"Error")</f>
        <v>1</v>
      </c>
      <c r="AC66" t="str">
        <f t="shared" ref="AC66:AC87" si="43">VLOOKUP(A66,$A$2:$AB$117,6,0)</f>
        <v>ATT</v>
      </c>
      <c r="AD66">
        <f t="shared" si="35"/>
        <v>1</v>
      </c>
      <c r="AE66" t="str">
        <f t="shared" si="36"/>
        <v>Credit</v>
      </c>
      <c r="AF66" t="str">
        <f t="shared" ref="AF66:AF97" si="44">UPPER(Z66)</f>
        <v>MODERATE SALES</v>
      </c>
      <c r="AG66" t="str">
        <f t="shared" ref="AG66:AG97" si="45">PROPER(AA66)</f>
        <v>True</v>
      </c>
      <c r="AH66" t="str">
        <f t="shared" ref="AH66:AH97" si="46">LEFT(I66,5)</f>
        <v>Jeffe</v>
      </c>
      <c r="AI66" t="str">
        <f t="shared" ref="AI66:AI97" si="47">MID(N66,5,8)</f>
        <v>6</v>
      </c>
      <c r="AJ66" t="s">
        <v>96</v>
      </c>
      <c r="AK66">
        <f t="shared" ref="AK66:AK97" si="48">O66*(1+W66)</f>
        <v>910</v>
      </c>
      <c r="AL66" t="str">
        <f t="shared" ref="AL66:AL97" si="49">TEXT(N66,"DDDD")</f>
        <v>Sunday</v>
      </c>
      <c r="AM66" s="9">
        <f t="shared" ref="AM66:AM97" si="50">EOMONTH(N66,1)+6</f>
        <v>41400</v>
      </c>
      <c r="AN66" t="str">
        <f t="shared" ref="AN66:AN97" si="51">DATEDIF(N66,AM66,"ym")&amp;"months,"&amp;DATEDIF(N66,AM66,"md")&amp;"days"</f>
        <v>2months,3days</v>
      </c>
      <c r="AP66" s="20" t="str">
        <f t="shared" ref="AP66:AP97" si="52">REPT("|",O66/10)</f>
        <v>||||||||||||||||||||||||||||||||||||||||||||||||||||||||||||||||||||||</v>
      </c>
      <c r="AQ66" s="17" t="s">
        <v>96</v>
      </c>
      <c r="AR66" s="22"/>
      <c r="BE66" t="str">
        <f ca="1" t="shared" si="17"/>
        <v>Finance</v>
      </c>
      <c r="BG66" s="5" t="s">
        <v>55</v>
      </c>
      <c r="BH66" s="5"/>
    </row>
    <row r="67" ht="15" spans="1:60">
      <c r="A67" s="11" t="s">
        <v>54</v>
      </c>
      <c r="B67" s="11" t="s">
        <v>88</v>
      </c>
      <c r="C67" s="13" t="s">
        <v>56</v>
      </c>
      <c r="D67" s="12">
        <v>38</v>
      </c>
      <c r="E67" s="11" t="s">
        <v>89</v>
      </c>
      <c r="F67" s="11" t="s">
        <v>72</v>
      </c>
      <c r="G67" s="11">
        <v>25</v>
      </c>
      <c r="H67" s="11" t="s">
        <v>183</v>
      </c>
      <c r="I67" s="14" t="s">
        <v>96</v>
      </c>
      <c r="J67" s="11" t="s">
        <v>130</v>
      </c>
      <c r="K67" s="11" t="s">
        <v>62</v>
      </c>
      <c r="L67" s="11" t="s">
        <v>63</v>
      </c>
      <c r="M67" s="11" t="s">
        <v>64</v>
      </c>
      <c r="N67" s="15">
        <v>42066</v>
      </c>
      <c r="O67" s="11">
        <v>700</v>
      </c>
      <c r="P67" s="11">
        <v>1300</v>
      </c>
      <c r="Q67" s="11">
        <v>34</v>
      </c>
      <c r="R67" s="11" t="s">
        <v>65</v>
      </c>
      <c r="S67" s="11">
        <v>108</v>
      </c>
      <c r="T67" s="11" t="s">
        <v>181</v>
      </c>
      <c r="U67" s="11" t="s">
        <v>182</v>
      </c>
      <c r="V67" s="11" t="s">
        <v>99</v>
      </c>
      <c r="W67" t="str">
        <f t="shared" si="37"/>
        <v>30%</v>
      </c>
      <c r="X67" t="str">
        <f t="shared" si="38"/>
        <v>20%</v>
      </c>
      <c r="Y67" t="str">
        <f t="shared" si="39"/>
        <v>20%</v>
      </c>
      <c r="Z67" t="str">
        <f t="shared" si="40"/>
        <v>Moderate Sales</v>
      </c>
      <c r="AA67" t="b">
        <f t="shared" si="41"/>
        <v>1</v>
      </c>
      <c r="AB67">
        <f t="shared" si="42"/>
        <v>1</v>
      </c>
      <c r="AC67" t="str">
        <f t="shared" si="43"/>
        <v>ATT</v>
      </c>
      <c r="AD67">
        <f t="shared" si="35"/>
        <v>1</v>
      </c>
      <c r="AE67" t="str">
        <f t="shared" si="36"/>
        <v>Credit</v>
      </c>
      <c r="AF67" t="str">
        <f t="shared" si="44"/>
        <v>MODERATE SALES</v>
      </c>
      <c r="AG67" t="str">
        <f t="shared" si="45"/>
        <v>True</v>
      </c>
      <c r="AH67" t="str">
        <f t="shared" si="46"/>
        <v>Jeffe</v>
      </c>
      <c r="AI67" t="str">
        <f t="shared" si="47"/>
        <v>6</v>
      </c>
      <c r="AJ67" t="s">
        <v>96</v>
      </c>
      <c r="AK67">
        <f t="shared" si="48"/>
        <v>910</v>
      </c>
      <c r="AL67" t="str">
        <f t="shared" si="49"/>
        <v>Tuesday</v>
      </c>
      <c r="AM67" s="9">
        <f t="shared" si="50"/>
        <v>42130</v>
      </c>
      <c r="AN67" t="str">
        <f t="shared" si="51"/>
        <v>2months,3days</v>
      </c>
      <c r="AP67" s="20" t="str">
        <f t="shared" si="52"/>
        <v>||||||||||||||||||||||||||||||||||||||||||||||||||||||||||||||||||||||</v>
      </c>
      <c r="AQ67" s="17" t="s">
        <v>96</v>
      </c>
      <c r="AR67" s="22"/>
      <c r="BE67" t="str">
        <f ca="1" t="shared" ref="BE67:BE117" si="53">OFFSET(C67,0,10)</f>
        <v>Finance</v>
      </c>
      <c r="BG67" s="5" t="s">
        <v>88</v>
      </c>
      <c r="BH67" s="5"/>
    </row>
    <row r="68" ht="15" spans="1:60">
      <c r="A68" s="11" t="s">
        <v>73</v>
      </c>
      <c r="B68" s="11" t="s">
        <v>74</v>
      </c>
      <c r="C68" s="13" t="s">
        <v>75</v>
      </c>
      <c r="D68" s="12">
        <v>20</v>
      </c>
      <c r="E68" s="11" t="s">
        <v>76</v>
      </c>
      <c r="F68" s="11" t="s">
        <v>77</v>
      </c>
      <c r="G68" s="11">
        <v>10</v>
      </c>
      <c r="H68" s="11" t="s">
        <v>131</v>
      </c>
      <c r="I68" s="14" t="s">
        <v>132</v>
      </c>
      <c r="J68" s="11" t="s">
        <v>133</v>
      </c>
      <c r="K68" s="11" t="s">
        <v>62</v>
      </c>
      <c r="L68" s="11" t="s">
        <v>107</v>
      </c>
      <c r="M68" s="11" t="s">
        <v>82</v>
      </c>
      <c r="N68" s="15">
        <v>41342</v>
      </c>
      <c r="O68" s="11">
        <v>1000</v>
      </c>
      <c r="P68" s="11">
        <v>1000</v>
      </c>
      <c r="Q68" s="11">
        <v>19</v>
      </c>
      <c r="R68" s="11" t="s">
        <v>65</v>
      </c>
      <c r="S68" s="11">
        <v>108</v>
      </c>
      <c r="T68" s="11" t="s">
        <v>181</v>
      </c>
      <c r="U68" s="11" t="s">
        <v>182</v>
      </c>
      <c r="V68" s="11" t="s">
        <v>99</v>
      </c>
      <c r="W68" t="str">
        <f t="shared" si="37"/>
        <v>30%</v>
      </c>
      <c r="X68" t="str">
        <f t="shared" si="38"/>
        <v>20%</v>
      </c>
      <c r="Y68" t="str">
        <f t="shared" si="39"/>
        <v>20%</v>
      </c>
      <c r="Z68" t="str">
        <f t="shared" si="40"/>
        <v>Great Sales</v>
      </c>
      <c r="AA68" t="b">
        <f t="shared" si="41"/>
        <v>1</v>
      </c>
      <c r="AB68">
        <f t="shared" si="42"/>
        <v>1</v>
      </c>
      <c r="AC68" t="str">
        <f t="shared" si="43"/>
        <v>Powder</v>
      </c>
      <c r="AD68">
        <f t="shared" ref="AD68:AD99" si="54">MATCH(Y68,X68:X182,0)</f>
        <v>1</v>
      </c>
      <c r="AE68" t="str">
        <f t="shared" si="36"/>
        <v>Credit</v>
      </c>
      <c r="AF68" t="str">
        <f t="shared" si="44"/>
        <v>GREAT SALES</v>
      </c>
      <c r="AG68" t="str">
        <f t="shared" si="45"/>
        <v>True</v>
      </c>
      <c r="AH68" t="str">
        <f t="shared" si="46"/>
        <v>Micha</v>
      </c>
      <c r="AI68" t="str">
        <f t="shared" si="47"/>
        <v>2</v>
      </c>
      <c r="AJ68" t="s">
        <v>132</v>
      </c>
      <c r="AK68">
        <f t="shared" si="48"/>
        <v>1300</v>
      </c>
      <c r="AL68" t="str">
        <f t="shared" si="49"/>
        <v>Saturday</v>
      </c>
      <c r="AM68" s="9">
        <f t="shared" si="50"/>
        <v>41400</v>
      </c>
      <c r="AN68" t="str">
        <f t="shared" si="51"/>
        <v>1months,27days</v>
      </c>
      <c r="AP68" s="20" t="str">
        <f t="shared" si="52"/>
        <v>||||||||||||||||||||||||||||||||||||||||||||||||||||||||||||||||||||||||||||||||||||||||||||||||||||</v>
      </c>
      <c r="AQ68" s="17" t="s">
        <v>132</v>
      </c>
      <c r="AR68" s="22"/>
      <c r="BE68" t="str">
        <f ca="1" t="shared" si="53"/>
        <v>Accounting</v>
      </c>
      <c r="BG68" s="5" t="s">
        <v>88</v>
      </c>
      <c r="BH68" s="5"/>
    </row>
    <row r="69" ht="15" spans="1:60">
      <c r="A69" s="11" t="s">
        <v>73</v>
      </c>
      <c r="B69" s="11" t="s">
        <v>74</v>
      </c>
      <c r="C69" s="13" t="s">
        <v>75</v>
      </c>
      <c r="D69" s="12">
        <v>20</v>
      </c>
      <c r="E69" s="11" t="s">
        <v>76</v>
      </c>
      <c r="F69" s="11" t="s">
        <v>77</v>
      </c>
      <c r="G69" s="11">
        <v>10</v>
      </c>
      <c r="H69" s="11" t="s">
        <v>131</v>
      </c>
      <c r="I69" s="14" t="s">
        <v>132</v>
      </c>
      <c r="J69" s="11" t="s">
        <v>133</v>
      </c>
      <c r="K69" s="11" t="s">
        <v>62</v>
      </c>
      <c r="L69" s="11" t="s">
        <v>107</v>
      </c>
      <c r="M69" s="11" t="s">
        <v>82</v>
      </c>
      <c r="N69" s="15">
        <v>42072</v>
      </c>
      <c r="O69" s="11">
        <v>1000</v>
      </c>
      <c r="P69" s="11">
        <v>1000</v>
      </c>
      <c r="Q69" s="11">
        <v>19</v>
      </c>
      <c r="R69" s="11" t="s">
        <v>65</v>
      </c>
      <c r="S69" s="11">
        <v>108</v>
      </c>
      <c r="T69" s="11" t="s">
        <v>181</v>
      </c>
      <c r="U69" s="11" t="s">
        <v>182</v>
      </c>
      <c r="V69" s="11" t="s">
        <v>99</v>
      </c>
      <c r="W69" t="str">
        <f t="shared" si="37"/>
        <v>30%</v>
      </c>
      <c r="X69" t="str">
        <f t="shared" si="38"/>
        <v>20%</v>
      </c>
      <c r="Y69" t="str">
        <f t="shared" si="39"/>
        <v>20%</v>
      </c>
      <c r="Z69" t="str">
        <f t="shared" si="40"/>
        <v>Great Sales</v>
      </c>
      <c r="AA69" t="b">
        <f t="shared" si="41"/>
        <v>1</v>
      </c>
      <c r="AB69">
        <f t="shared" si="42"/>
        <v>1</v>
      </c>
      <c r="AC69" t="str">
        <f t="shared" si="43"/>
        <v>Powder</v>
      </c>
      <c r="AD69">
        <f t="shared" si="54"/>
        <v>1</v>
      </c>
      <c r="AE69" t="str">
        <f t="shared" si="36"/>
        <v>Credit</v>
      </c>
      <c r="AF69" t="str">
        <f t="shared" si="44"/>
        <v>GREAT SALES</v>
      </c>
      <c r="AG69" t="str">
        <f t="shared" si="45"/>
        <v>True</v>
      </c>
      <c r="AH69" t="str">
        <f t="shared" si="46"/>
        <v>Micha</v>
      </c>
      <c r="AI69" t="str">
        <f t="shared" si="47"/>
        <v>2</v>
      </c>
      <c r="AJ69" t="s">
        <v>132</v>
      </c>
      <c r="AK69">
        <f t="shared" si="48"/>
        <v>1300</v>
      </c>
      <c r="AL69" t="str">
        <f t="shared" si="49"/>
        <v>Monday</v>
      </c>
      <c r="AM69" s="9">
        <f t="shared" si="50"/>
        <v>42130</v>
      </c>
      <c r="AN69" t="str">
        <f t="shared" si="51"/>
        <v>1months,27days</v>
      </c>
      <c r="AP69" s="20" t="str">
        <f t="shared" si="52"/>
        <v>||||||||||||||||||||||||||||||||||||||||||||||||||||||||||||||||||||||||||||||||||||||||||||||||||||</v>
      </c>
      <c r="AQ69" s="17" t="s">
        <v>132</v>
      </c>
      <c r="AR69" s="22"/>
      <c r="BE69" t="str">
        <f ca="1" t="shared" si="53"/>
        <v>Accounting</v>
      </c>
      <c r="BG69" s="5" t="s">
        <v>74</v>
      </c>
      <c r="BH69" s="5"/>
    </row>
    <row r="70" ht="15" spans="1:60">
      <c r="A70" s="11" t="s">
        <v>109</v>
      </c>
      <c r="B70" s="11" t="s">
        <v>110</v>
      </c>
      <c r="C70" s="13" t="s">
        <v>111</v>
      </c>
      <c r="D70" s="12">
        <v>10</v>
      </c>
      <c r="E70" s="11" t="s">
        <v>112</v>
      </c>
      <c r="F70" s="11" t="s">
        <v>86</v>
      </c>
      <c r="G70" s="11">
        <v>1</v>
      </c>
      <c r="H70" s="11" t="s">
        <v>184</v>
      </c>
      <c r="I70" s="14" t="s">
        <v>185</v>
      </c>
      <c r="J70" s="11" t="s">
        <v>115</v>
      </c>
      <c r="K70" s="11" t="s">
        <v>116</v>
      </c>
      <c r="L70" s="11" t="s">
        <v>117</v>
      </c>
      <c r="M70" s="11" t="s">
        <v>118</v>
      </c>
      <c r="N70" s="15">
        <v>40977</v>
      </c>
      <c r="O70" s="11">
        <v>700</v>
      </c>
      <c r="P70" s="11">
        <v>100</v>
      </c>
      <c r="Q70" s="11">
        <v>10</v>
      </c>
      <c r="R70" s="11" t="s">
        <v>119</v>
      </c>
      <c r="S70" s="11">
        <v>108</v>
      </c>
      <c r="T70" s="11" t="s">
        <v>181</v>
      </c>
      <c r="U70" s="11" t="s">
        <v>182</v>
      </c>
      <c r="V70" s="11" t="s">
        <v>99</v>
      </c>
      <c r="W70" t="str">
        <f t="shared" si="37"/>
        <v>30%</v>
      </c>
      <c r="X70" t="str">
        <f t="shared" si="38"/>
        <v>20%</v>
      </c>
      <c r="Y70">
        <f t="shared" si="39"/>
        <v>0</v>
      </c>
      <c r="Z70" t="str">
        <f t="shared" si="40"/>
        <v>Moderate Sales</v>
      </c>
      <c r="AA70" t="b">
        <f t="shared" si="41"/>
        <v>1</v>
      </c>
      <c r="AB70">
        <f t="shared" si="42"/>
        <v>19</v>
      </c>
      <c r="AC70" t="str">
        <f t="shared" si="43"/>
        <v>Laptop</v>
      </c>
      <c r="AD70">
        <f t="shared" si="54"/>
        <v>19</v>
      </c>
      <c r="AE70" t="str">
        <f t="shared" si="36"/>
        <v>Debit</v>
      </c>
      <c r="AF70" t="str">
        <f t="shared" si="44"/>
        <v>MODERATE SALES</v>
      </c>
      <c r="AG70" t="str">
        <f t="shared" si="45"/>
        <v>True</v>
      </c>
      <c r="AH70" t="str">
        <f t="shared" si="46"/>
        <v>Sachi</v>
      </c>
      <c r="AI70" t="str">
        <f t="shared" si="47"/>
        <v>7</v>
      </c>
      <c r="AJ70" t="s">
        <v>186</v>
      </c>
      <c r="AK70">
        <f t="shared" si="48"/>
        <v>910</v>
      </c>
      <c r="AL70" t="str">
        <f t="shared" si="49"/>
        <v>Friday</v>
      </c>
      <c r="AM70" s="9">
        <f t="shared" si="50"/>
        <v>41035</v>
      </c>
      <c r="AN70" t="str">
        <f t="shared" si="51"/>
        <v>1months,27days</v>
      </c>
      <c r="AP70" s="20" t="str">
        <f t="shared" si="52"/>
        <v>||||||||||||||||||||||||||||||||||||||||||||||||||||||||||||||||||||||</v>
      </c>
      <c r="AQ70" s="17" t="s">
        <v>185</v>
      </c>
      <c r="AR70" s="22"/>
      <c r="BE70" t="str">
        <f ca="1" t="shared" si="53"/>
        <v>Sales</v>
      </c>
      <c r="BG70" s="5" t="s">
        <v>74</v>
      </c>
      <c r="BH70" s="5"/>
    </row>
    <row r="71" ht="15" spans="1:60">
      <c r="A71" s="11" t="s">
        <v>109</v>
      </c>
      <c r="B71" s="11" t="s">
        <v>110</v>
      </c>
      <c r="C71" s="13" t="s">
        <v>111</v>
      </c>
      <c r="D71" s="12">
        <v>10</v>
      </c>
      <c r="E71" s="11" t="s">
        <v>112</v>
      </c>
      <c r="F71" s="11" t="s">
        <v>86</v>
      </c>
      <c r="G71" s="11">
        <v>1</v>
      </c>
      <c r="H71" s="11" t="s">
        <v>184</v>
      </c>
      <c r="I71" s="14" t="s">
        <v>185</v>
      </c>
      <c r="J71" s="11" t="s">
        <v>115</v>
      </c>
      <c r="K71" s="11" t="s">
        <v>116</v>
      </c>
      <c r="L71" s="11" t="s">
        <v>117</v>
      </c>
      <c r="M71" s="11" t="s">
        <v>118</v>
      </c>
      <c r="N71" s="15">
        <v>41707</v>
      </c>
      <c r="O71" s="11">
        <v>700</v>
      </c>
      <c r="P71" s="11">
        <v>100</v>
      </c>
      <c r="Q71" s="11">
        <v>10</v>
      </c>
      <c r="R71" s="11" t="s">
        <v>119</v>
      </c>
      <c r="S71" s="11">
        <v>108</v>
      </c>
      <c r="T71" s="11" t="s">
        <v>181</v>
      </c>
      <c r="U71" s="11" t="s">
        <v>182</v>
      </c>
      <c r="V71" s="11" t="s">
        <v>99</v>
      </c>
      <c r="W71" t="str">
        <f t="shared" si="37"/>
        <v>30%</v>
      </c>
      <c r="X71" t="str">
        <f t="shared" si="38"/>
        <v>20%</v>
      </c>
      <c r="Y71">
        <f t="shared" si="39"/>
        <v>0</v>
      </c>
      <c r="Z71" t="str">
        <f t="shared" si="40"/>
        <v>Moderate Sales</v>
      </c>
      <c r="AA71" t="b">
        <f t="shared" si="41"/>
        <v>1</v>
      </c>
      <c r="AB71">
        <f t="shared" si="42"/>
        <v>18</v>
      </c>
      <c r="AC71" t="str">
        <f t="shared" si="43"/>
        <v>Laptop</v>
      </c>
      <c r="AD71">
        <f t="shared" si="54"/>
        <v>18</v>
      </c>
      <c r="AE71" t="str">
        <f t="shared" ref="AE71:AE102" si="55">LOOKUP(G71,G71:G185,B71:B185)</f>
        <v>Debit</v>
      </c>
      <c r="AF71" t="str">
        <f t="shared" si="44"/>
        <v>MODERATE SALES</v>
      </c>
      <c r="AG71" t="str">
        <f t="shared" si="45"/>
        <v>True</v>
      </c>
      <c r="AH71" t="str">
        <f t="shared" si="46"/>
        <v>Sachi</v>
      </c>
      <c r="AI71" t="str">
        <f t="shared" si="47"/>
        <v>7</v>
      </c>
      <c r="AJ71" t="s">
        <v>186</v>
      </c>
      <c r="AK71">
        <f t="shared" si="48"/>
        <v>910</v>
      </c>
      <c r="AL71" t="str">
        <f t="shared" si="49"/>
        <v>Sunday</v>
      </c>
      <c r="AM71" s="9">
        <f t="shared" si="50"/>
        <v>41765</v>
      </c>
      <c r="AN71" t="str">
        <f t="shared" si="51"/>
        <v>1months,27days</v>
      </c>
      <c r="AP71" s="20" t="str">
        <f t="shared" si="52"/>
        <v>||||||||||||||||||||||||||||||||||||||||||||||||||||||||||||||||||||||</v>
      </c>
      <c r="AQ71" s="17" t="s">
        <v>185</v>
      </c>
      <c r="AR71" s="22"/>
      <c r="BE71" t="str">
        <f ca="1" t="shared" si="53"/>
        <v>Sales</v>
      </c>
      <c r="BG71" s="5" t="s">
        <v>110</v>
      </c>
      <c r="BH71" s="5"/>
    </row>
    <row r="72" ht="15" spans="1:60">
      <c r="A72" s="11" t="s">
        <v>73</v>
      </c>
      <c r="B72" s="11" t="s">
        <v>124</v>
      </c>
      <c r="C72" s="13" t="s">
        <v>75</v>
      </c>
      <c r="D72" s="12">
        <v>24</v>
      </c>
      <c r="E72" s="11" t="s">
        <v>128</v>
      </c>
      <c r="F72" s="11" t="s">
        <v>85</v>
      </c>
      <c r="G72" s="11">
        <v>18</v>
      </c>
      <c r="H72" s="11" t="s">
        <v>179</v>
      </c>
      <c r="I72" s="14" t="s">
        <v>180</v>
      </c>
      <c r="J72" s="11" t="s">
        <v>106</v>
      </c>
      <c r="K72" s="11" t="s">
        <v>62</v>
      </c>
      <c r="L72" s="11" t="s">
        <v>107</v>
      </c>
      <c r="M72" s="11" t="s">
        <v>82</v>
      </c>
      <c r="N72" s="15">
        <v>41341</v>
      </c>
      <c r="O72" s="11">
        <v>876</v>
      </c>
      <c r="P72" s="11">
        <v>600</v>
      </c>
      <c r="Q72" s="11">
        <v>27</v>
      </c>
      <c r="R72" s="11" t="s">
        <v>119</v>
      </c>
      <c r="S72" s="11">
        <v>108</v>
      </c>
      <c r="T72" s="11" t="s">
        <v>181</v>
      </c>
      <c r="U72" s="11" t="s">
        <v>182</v>
      </c>
      <c r="V72" s="11" t="s">
        <v>99</v>
      </c>
      <c r="W72" t="str">
        <f t="shared" si="37"/>
        <v>30%</v>
      </c>
      <c r="X72" t="str">
        <f t="shared" si="38"/>
        <v>20%</v>
      </c>
      <c r="Y72" t="str">
        <f t="shared" si="39"/>
        <v>20%</v>
      </c>
      <c r="Z72" t="str">
        <f t="shared" si="40"/>
        <v>Great Sales</v>
      </c>
      <c r="AA72" t="b">
        <f t="shared" si="41"/>
        <v>1</v>
      </c>
      <c r="AB72">
        <f t="shared" si="42"/>
        <v>1</v>
      </c>
      <c r="AC72" t="str">
        <f t="shared" si="43"/>
        <v>Powder</v>
      </c>
      <c r="AD72">
        <f t="shared" si="54"/>
        <v>1</v>
      </c>
      <c r="AE72" t="str">
        <f t="shared" si="55"/>
        <v>Cash</v>
      </c>
      <c r="AF72" t="str">
        <f t="shared" si="44"/>
        <v>GREAT SALES</v>
      </c>
      <c r="AG72" t="str">
        <f t="shared" si="45"/>
        <v>True</v>
      </c>
      <c r="AH72" t="str">
        <f t="shared" si="46"/>
        <v>Tim</v>
      </c>
      <c r="AI72" t="str">
        <f t="shared" si="47"/>
        <v>1</v>
      </c>
      <c r="AJ72" t="s">
        <v>180</v>
      </c>
      <c r="AK72">
        <f t="shared" si="48"/>
        <v>1138.8</v>
      </c>
      <c r="AL72" t="str">
        <f t="shared" si="49"/>
        <v>Friday</v>
      </c>
      <c r="AM72" s="9">
        <f t="shared" si="50"/>
        <v>41400</v>
      </c>
      <c r="AN72" t="str">
        <f t="shared" si="51"/>
        <v>1months,28days</v>
      </c>
      <c r="AP72" s="20" t="str">
        <f t="shared" si="52"/>
        <v>|||||||||||||||||||||||||||||||||||||||||||||||||||||||||||||||||||||||||||||||||||||||</v>
      </c>
      <c r="AQ72" s="17" t="s">
        <v>180</v>
      </c>
      <c r="AR72" s="22"/>
      <c r="BE72" t="str">
        <f ca="1" t="shared" si="53"/>
        <v>Accounting</v>
      </c>
      <c r="BG72" s="5" t="s">
        <v>110</v>
      </c>
      <c r="BH72" s="5"/>
    </row>
    <row r="73" ht="15" spans="1:60">
      <c r="A73" s="11" t="s">
        <v>73</v>
      </c>
      <c r="B73" s="11" t="s">
        <v>124</v>
      </c>
      <c r="C73" s="13" t="s">
        <v>75</v>
      </c>
      <c r="D73" s="12">
        <v>24</v>
      </c>
      <c r="E73" s="11" t="s">
        <v>128</v>
      </c>
      <c r="F73" s="11" t="s">
        <v>85</v>
      </c>
      <c r="G73" s="11">
        <v>18</v>
      </c>
      <c r="H73" s="11" t="s">
        <v>179</v>
      </c>
      <c r="I73" s="14" t="s">
        <v>180</v>
      </c>
      <c r="J73" s="11" t="s">
        <v>106</v>
      </c>
      <c r="K73" s="11" t="s">
        <v>62</v>
      </c>
      <c r="L73" s="11" t="s">
        <v>107</v>
      </c>
      <c r="M73" s="11" t="s">
        <v>82</v>
      </c>
      <c r="N73" s="15">
        <v>42071</v>
      </c>
      <c r="O73" s="11">
        <v>876</v>
      </c>
      <c r="P73" s="11">
        <v>600</v>
      </c>
      <c r="Q73" s="11">
        <v>27</v>
      </c>
      <c r="R73" s="11" t="s">
        <v>119</v>
      </c>
      <c r="S73" s="11">
        <v>108</v>
      </c>
      <c r="T73" s="11" t="s">
        <v>181</v>
      </c>
      <c r="U73" s="11" t="s">
        <v>182</v>
      </c>
      <c r="V73" s="11" t="s">
        <v>99</v>
      </c>
      <c r="W73" t="str">
        <f t="shared" si="37"/>
        <v>30%</v>
      </c>
      <c r="X73" t="str">
        <f t="shared" si="38"/>
        <v>20%</v>
      </c>
      <c r="Y73" t="str">
        <f t="shared" si="39"/>
        <v>20%</v>
      </c>
      <c r="Z73" t="str">
        <f t="shared" si="40"/>
        <v>Great Sales</v>
      </c>
      <c r="AA73" t="b">
        <f t="shared" si="41"/>
        <v>1</v>
      </c>
      <c r="AB73">
        <f t="shared" si="42"/>
        <v>1</v>
      </c>
      <c r="AC73" t="str">
        <f t="shared" si="43"/>
        <v>Powder</v>
      </c>
      <c r="AD73">
        <f t="shared" si="54"/>
        <v>1</v>
      </c>
      <c r="AE73" t="str">
        <f t="shared" si="55"/>
        <v>Debit</v>
      </c>
      <c r="AF73" t="str">
        <f t="shared" si="44"/>
        <v>GREAT SALES</v>
      </c>
      <c r="AG73" t="str">
        <f t="shared" si="45"/>
        <v>True</v>
      </c>
      <c r="AH73" t="str">
        <f t="shared" si="46"/>
        <v>Tim</v>
      </c>
      <c r="AI73" t="str">
        <f t="shared" si="47"/>
        <v>1</v>
      </c>
      <c r="AJ73" t="s">
        <v>180</v>
      </c>
      <c r="AK73">
        <f t="shared" si="48"/>
        <v>1138.8</v>
      </c>
      <c r="AL73" t="str">
        <f t="shared" si="49"/>
        <v>Sunday</v>
      </c>
      <c r="AM73" s="9">
        <f t="shared" si="50"/>
        <v>42130</v>
      </c>
      <c r="AN73" t="str">
        <f t="shared" si="51"/>
        <v>1months,28days</v>
      </c>
      <c r="AP73" s="20" t="str">
        <f t="shared" si="52"/>
        <v>|||||||||||||||||||||||||||||||||||||||||||||||||||||||||||||||||||||||||||||||||||||||</v>
      </c>
      <c r="AQ73" s="17" t="s">
        <v>180</v>
      </c>
      <c r="AR73" s="22"/>
      <c r="BE73" t="str">
        <f ca="1" t="shared" si="53"/>
        <v>Accounting</v>
      </c>
      <c r="BG73" s="5" t="s">
        <v>124</v>
      </c>
      <c r="BH73" s="5"/>
    </row>
    <row r="74" ht="15" spans="1:60">
      <c r="A74" s="11" t="s">
        <v>109</v>
      </c>
      <c r="B74" s="11" t="s">
        <v>125</v>
      </c>
      <c r="C74" s="13" t="s">
        <v>111</v>
      </c>
      <c r="D74" s="12">
        <v>14</v>
      </c>
      <c r="E74" s="11" t="s">
        <v>146</v>
      </c>
      <c r="F74" s="11" t="s">
        <v>83</v>
      </c>
      <c r="G74" s="11">
        <v>9</v>
      </c>
      <c r="H74" s="11" t="s">
        <v>154</v>
      </c>
      <c r="I74" s="14" t="s">
        <v>155</v>
      </c>
      <c r="J74" s="11" t="s">
        <v>149</v>
      </c>
      <c r="K74" s="11" t="s">
        <v>116</v>
      </c>
      <c r="L74" s="11" t="s">
        <v>81</v>
      </c>
      <c r="M74" s="11" t="s">
        <v>82</v>
      </c>
      <c r="N74" s="15">
        <v>40917</v>
      </c>
      <c r="O74" s="11">
        <v>798</v>
      </c>
      <c r="P74" s="11">
        <v>900</v>
      </c>
      <c r="Q74" s="11">
        <v>18</v>
      </c>
      <c r="R74" s="11" t="s">
        <v>65</v>
      </c>
      <c r="S74" s="11">
        <v>108</v>
      </c>
      <c r="T74" s="11" t="s">
        <v>181</v>
      </c>
      <c r="U74" s="11" t="s">
        <v>182</v>
      </c>
      <c r="V74" s="11" t="s">
        <v>99</v>
      </c>
      <c r="W74" t="str">
        <f t="shared" si="37"/>
        <v>30%</v>
      </c>
      <c r="X74" t="str">
        <f t="shared" si="38"/>
        <v>20%</v>
      </c>
      <c r="Y74" t="str">
        <f t="shared" si="39"/>
        <v>20%</v>
      </c>
      <c r="Z74" t="str">
        <f t="shared" si="40"/>
        <v>Moderate Sales</v>
      </c>
      <c r="AA74" t="b">
        <f t="shared" si="41"/>
        <v>1</v>
      </c>
      <c r="AB74">
        <f t="shared" si="42"/>
        <v>1</v>
      </c>
      <c r="AC74" t="str">
        <f t="shared" si="43"/>
        <v>Laptop</v>
      </c>
      <c r="AD74">
        <f t="shared" si="54"/>
        <v>1</v>
      </c>
      <c r="AE74" t="str">
        <f t="shared" si="55"/>
        <v>Credit</v>
      </c>
      <c r="AF74" t="str">
        <f t="shared" si="44"/>
        <v>MODERATE SALES</v>
      </c>
      <c r="AG74" t="str">
        <f t="shared" si="45"/>
        <v>True</v>
      </c>
      <c r="AH74" t="str">
        <f t="shared" si="46"/>
        <v>Zahee</v>
      </c>
      <c r="AI74" t="str">
        <f t="shared" si="47"/>
        <v>7</v>
      </c>
      <c r="AJ74" t="s">
        <v>156</v>
      </c>
      <c r="AK74">
        <f t="shared" si="48"/>
        <v>1037.4</v>
      </c>
      <c r="AL74" t="str">
        <f t="shared" si="49"/>
        <v>Monday</v>
      </c>
      <c r="AM74" s="9">
        <f t="shared" si="50"/>
        <v>40974</v>
      </c>
      <c r="AN74" t="str">
        <f t="shared" si="51"/>
        <v>1months,26days</v>
      </c>
      <c r="AO74" s="24">
        <v>37377</v>
      </c>
      <c r="AP74" s="20" t="str">
        <f t="shared" si="52"/>
        <v>|||||||||||||||||||||||||||||||||||||||||||||||||||||||||||||||||||||||||||||||</v>
      </c>
      <c r="AQ74" s="17" t="s">
        <v>155</v>
      </c>
      <c r="AR74" s="22"/>
      <c r="BE74" t="str">
        <f ca="1" t="shared" si="53"/>
        <v>Accounting</v>
      </c>
      <c r="BG74" s="5" t="s">
        <v>124</v>
      </c>
      <c r="BH74" s="5"/>
    </row>
    <row r="75" ht="15" spans="1:60">
      <c r="A75" s="11" t="s">
        <v>109</v>
      </c>
      <c r="B75" s="11" t="s">
        <v>125</v>
      </c>
      <c r="C75" s="13" t="s">
        <v>111</v>
      </c>
      <c r="D75" s="12">
        <v>14</v>
      </c>
      <c r="E75" s="11" t="s">
        <v>146</v>
      </c>
      <c r="F75" s="11" t="s">
        <v>83</v>
      </c>
      <c r="G75" s="11">
        <v>9</v>
      </c>
      <c r="H75" s="11" t="s">
        <v>154</v>
      </c>
      <c r="I75" s="14" t="s">
        <v>155</v>
      </c>
      <c r="J75" s="11" t="s">
        <v>149</v>
      </c>
      <c r="K75" s="11" t="s">
        <v>116</v>
      </c>
      <c r="L75" s="11" t="s">
        <v>81</v>
      </c>
      <c r="M75" s="11" t="s">
        <v>82</v>
      </c>
      <c r="N75" s="15">
        <v>41648</v>
      </c>
      <c r="O75" s="11">
        <v>798</v>
      </c>
      <c r="P75" s="11">
        <v>900</v>
      </c>
      <c r="Q75" s="11">
        <v>18</v>
      </c>
      <c r="R75" s="11" t="s">
        <v>65</v>
      </c>
      <c r="S75" s="11">
        <v>108</v>
      </c>
      <c r="T75" s="11" t="s">
        <v>181</v>
      </c>
      <c r="U75" s="11" t="s">
        <v>182</v>
      </c>
      <c r="V75" s="11" t="s">
        <v>99</v>
      </c>
      <c r="W75" t="str">
        <f t="shared" si="37"/>
        <v>30%</v>
      </c>
      <c r="X75" t="str">
        <f t="shared" si="38"/>
        <v>20%</v>
      </c>
      <c r="Y75" t="str">
        <f t="shared" si="39"/>
        <v>20%</v>
      </c>
      <c r="Z75" t="str">
        <f t="shared" si="40"/>
        <v>Moderate Sales</v>
      </c>
      <c r="AA75" t="b">
        <f t="shared" si="41"/>
        <v>1</v>
      </c>
      <c r="AB75">
        <f t="shared" si="42"/>
        <v>1</v>
      </c>
      <c r="AC75" t="str">
        <f t="shared" si="43"/>
        <v>Laptop</v>
      </c>
      <c r="AD75">
        <f t="shared" si="54"/>
        <v>1</v>
      </c>
      <c r="AE75" t="str">
        <f t="shared" si="55"/>
        <v>Credit</v>
      </c>
      <c r="AF75" t="str">
        <f t="shared" si="44"/>
        <v>MODERATE SALES</v>
      </c>
      <c r="AG75" t="str">
        <f t="shared" si="45"/>
        <v>True</v>
      </c>
      <c r="AH75" t="str">
        <f t="shared" si="46"/>
        <v>Zahee</v>
      </c>
      <c r="AI75" t="str">
        <f t="shared" si="47"/>
        <v>8</v>
      </c>
      <c r="AJ75" t="s">
        <v>156</v>
      </c>
      <c r="AK75">
        <f t="shared" si="48"/>
        <v>1037.4</v>
      </c>
      <c r="AL75" t="str">
        <f t="shared" si="49"/>
        <v>Thursday</v>
      </c>
      <c r="AM75" s="9">
        <f t="shared" si="50"/>
        <v>41704</v>
      </c>
      <c r="AN75" t="str">
        <f t="shared" si="51"/>
        <v>1months,25days</v>
      </c>
      <c r="AP75" s="20" t="str">
        <f t="shared" si="52"/>
        <v>|||||||||||||||||||||||||||||||||||||||||||||||||||||||||||||||||||||||||||||||</v>
      </c>
      <c r="AQ75" s="17" t="s">
        <v>155</v>
      </c>
      <c r="AR75" s="22"/>
      <c r="BE75" t="str">
        <f ca="1" t="shared" si="53"/>
        <v>Accounting</v>
      </c>
      <c r="BG75" s="5" t="s">
        <v>125</v>
      </c>
      <c r="BH75" s="5"/>
    </row>
    <row r="76" ht="15" spans="1:60">
      <c r="A76" s="11" t="s">
        <v>73</v>
      </c>
      <c r="B76" s="11" t="s">
        <v>124</v>
      </c>
      <c r="C76" s="13" t="s">
        <v>75</v>
      </c>
      <c r="D76" s="12">
        <v>24</v>
      </c>
      <c r="E76" s="11" t="s">
        <v>128</v>
      </c>
      <c r="F76" s="11" t="s">
        <v>85</v>
      </c>
      <c r="G76" s="11">
        <v>17</v>
      </c>
      <c r="H76" s="11" t="s">
        <v>141</v>
      </c>
      <c r="I76" s="14" t="s">
        <v>142</v>
      </c>
      <c r="J76" s="11" t="s">
        <v>80</v>
      </c>
      <c r="K76" s="11" t="s">
        <v>62</v>
      </c>
      <c r="L76" s="11" t="s">
        <v>81</v>
      </c>
      <c r="M76" s="11" t="s">
        <v>82</v>
      </c>
      <c r="N76" s="15">
        <v>40916</v>
      </c>
      <c r="O76" s="11">
        <v>500</v>
      </c>
      <c r="P76" s="11">
        <v>500</v>
      </c>
      <c r="Q76" s="11">
        <v>26</v>
      </c>
      <c r="R76" s="11" t="s">
        <v>65</v>
      </c>
      <c r="S76" s="11">
        <v>105</v>
      </c>
      <c r="T76" s="11" t="s">
        <v>187</v>
      </c>
      <c r="U76" s="11" t="s">
        <v>188</v>
      </c>
      <c r="V76" s="11" t="s">
        <v>99</v>
      </c>
      <c r="W76" t="str">
        <f t="shared" si="37"/>
        <v>30%</v>
      </c>
      <c r="X76" t="str">
        <f t="shared" si="38"/>
        <v>20%</v>
      </c>
      <c r="Y76" t="str">
        <f t="shared" si="39"/>
        <v>20%</v>
      </c>
      <c r="Z76" t="str">
        <f t="shared" si="40"/>
        <v>Moderate Sales</v>
      </c>
      <c r="AA76" t="b">
        <f t="shared" si="41"/>
        <v>1</v>
      </c>
      <c r="AB76">
        <f t="shared" si="42"/>
        <v>1</v>
      </c>
      <c r="AC76" t="str">
        <f t="shared" si="43"/>
        <v>Powder</v>
      </c>
      <c r="AD76">
        <f t="shared" si="54"/>
        <v>1</v>
      </c>
      <c r="AE76" t="str">
        <f t="shared" si="55"/>
        <v>Credit</v>
      </c>
      <c r="AF76" t="str">
        <f t="shared" si="44"/>
        <v>MODERATE SALES</v>
      </c>
      <c r="AG76" t="str">
        <f t="shared" si="45"/>
        <v>True</v>
      </c>
      <c r="AH76" t="str">
        <f t="shared" si="46"/>
        <v>Andy </v>
      </c>
      <c r="AI76" t="str">
        <f t="shared" si="47"/>
        <v>6</v>
      </c>
      <c r="AJ76" t="s">
        <v>144</v>
      </c>
      <c r="AK76">
        <f t="shared" si="48"/>
        <v>650</v>
      </c>
      <c r="AL76" t="str">
        <f t="shared" si="49"/>
        <v>Sunday</v>
      </c>
      <c r="AM76" s="9">
        <f t="shared" si="50"/>
        <v>40974</v>
      </c>
      <c r="AN76" t="str">
        <f t="shared" si="51"/>
        <v>1months,27days</v>
      </c>
      <c r="AO76" s="27">
        <v>0.25</v>
      </c>
      <c r="AP76" s="20" t="str">
        <f t="shared" si="52"/>
        <v>||||||||||||||||||||||||||||||||||||||||||||||||||</v>
      </c>
      <c r="AQ76" s="17" t="s">
        <v>142</v>
      </c>
      <c r="AR76" s="22"/>
      <c r="BE76" t="str">
        <f ca="1" t="shared" si="53"/>
        <v>Accounting</v>
      </c>
      <c r="BG76" s="5" t="s">
        <v>125</v>
      </c>
      <c r="BH76" s="5"/>
    </row>
    <row r="77" ht="15" spans="1:60">
      <c r="A77" s="11" t="s">
        <v>73</v>
      </c>
      <c r="B77" s="11" t="s">
        <v>124</v>
      </c>
      <c r="C77" s="13" t="s">
        <v>75</v>
      </c>
      <c r="D77" s="12">
        <v>24</v>
      </c>
      <c r="E77" s="11" t="s">
        <v>128</v>
      </c>
      <c r="F77" s="11" t="s">
        <v>85</v>
      </c>
      <c r="G77" s="11">
        <v>17</v>
      </c>
      <c r="H77" s="11" t="s">
        <v>141</v>
      </c>
      <c r="I77" s="14" t="s">
        <v>142</v>
      </c>
      <c r="J77" s="11" t="s">
        <v>80</v>
      </c>
      <c r="K77" s="11" t="s">
        <v>62</v>
      </c>
      <c r="L77" s="11" t="s">
        <v>81</v>
      </c>
      <c r="M77" s="11" t="s">
        <v>82</v>
      </c>
      <c r="N77" s="15">
        <v>41647</v>
      </c>
      <c r="O77" s="11">
        <v>500</v>
      </c>
      <c r="P77" s="11">
        <v>500</v>
      </c>
      <c r="Q77" s="11">
        <v>26</v>
      </c>
      <c r="R77" s="11" t="s">
        <v>65</v>
      </c>
      <c r="S77" s="11">
        <v>105</v>
      </c>
      <c r="T77" s="11" t="s">
        <v>187</v>
      </c>
      <c r="U77" s="11" t="s">
        <v>188</v>
      </c>
      <c r="V77" s="11" t="s">
        <v>99</v>
      </c>
      <c r="W77" t="str">
        <f t="shared" si="37"/>
        <v>30%</v>
      </c>
      <c r="X77" t="str">
        <f t="shared" si="38"/>
        <v>20%</v>
      </c>
      <c r="Y77" t="str">
        <f t="shared" si="39"/>
        <v>20%</v>
      </c>
      <c r="Z77" t="str">
        <f t="shared" si="40"/>
        <v>Moderate Sales</v>
      </c>
      <c r="AA77" t="b">
        <f t="shared" si="41"/>
        <v>1</v>
      </c>
      <c r="AB77">
        <f t="shared" si="42"/>
        <v>1</v>
      </c>
      <c r="AC77" t="str">
        <f t="shared" si="43"/>
        <v>Powder</v>
      </c>
      <c r="AD77">
        <f t="shared" si="54"/>
        <v>1</v>
      </c>
      <c r="AE77" t="str">
        <f t="shared" si="55"/>
        <v>Cash</v>
      </c>
      <c r="AF77" t="str">
        <f t="shared" si="44"/>
        <v>MODERATE SALES</v>
      </c>
      <c r="AG77" t="str">
        <f t="shared" si="45"/>
        <v>True</v>
      </c>
      <c r="AH77" t="str">
        <f t="shared" si="46"/>
        <v>Andy </v>
      </c>
      <c r="AI77" t="str">
        <f t="shared" si="47"/>
        <v>7</v>
      </c>
      <c r="AJ77" t="s">
        <v>144</v>
      </c>
      <c r="AK77">
        <f t="shared" si="48"/>
        <v>650</v>
      </c>
      <c r="AL77" t="str">
        <f t="shared" si="49"/>
        <v>Wednesday</v>
      </c>
      <c r="AM77" s="9">
        <f t="shared" si="50"/>
        <v>41704</v>
      </c>
      <c r="AN77" t="str">
        <f t="shared" si="51"/>
        <v>1months,26days</v>
      </c>
      <c r="AP77" s="20" t="str">
        <f t="shared" si="52"/>
        <v>||||||||||||||||||||||||||||||||||||||||||||||||||</v>
      </c>
      <c r="AQ77" s="17" t="s">
        <v>142</v>
      </c>
      <c r="AR77" s="22"/>
      <c r="BE77" t="str">
        <f ca="1" t="shared" si="53"/>
        <v>Accounting</v>
      </c>
      <c r="BG77" s="5" t="s">
        <v>124</v>
      </c>
      <c r="BH77" s="5"/>
    </row>
    <row r="78" ht="15" spans="1:60">
      <c r="A78" s="11" t="s">
        <v>109</v>
      </c>
      <c r="B78" s="11" t="s">
        <v>125</v>
      </c>
      <c r="C78" s="13" t="s">
        <v>111</v>
      </c>
      <c r="D78" s="12">
        <v>14</v>
      </c>
      <c r="E78" s="11" t="s">
        <v>146</v>
      </c>
      <c r="F78" s="11" t="s">
        <v>83</v>
      </c>
      <c r="G78" s="11">
        <v>6</v>
      </c>
      <c r="H78" s="11" t="s">
        <v>189</v>
      </c>
      <c r="I78" s="14" t="s">
        <v>190</v>
      </c>
      <c r="J78" s="11" t="s">
        <v>149</v>
      </c>
      <c r="K78" s="11" t="s">
        <v>116</v>
      </c>
      <c r="L78" s="11" t="s">
        <v>150</v>
      </c>
      <c r="M78" s="11" t="s">
        <v>118</v>
      </c>
      <c r="N78" s="15">
        <v>40914</v>
      </c>
      <c r="O78" s="11">
        <v>550</v>
      </c>
      <c r="P78" s="11">
        <v>600</v>
      </c>
      <c r="Q78" s="11">
        <v>15</v>
      </c>
      <c r="R78" s="11" t="s">
        <v>119</v>
      </c>
      <c r="S78" s="11">
        <v>105</v>
      </c>
      <c r="T78" s="11" t="s">
        <v>187</v>
      </c>
      <c r="U78" s="11" t="s">
        <v>188</v>
      </c>
      <c r="V78" s="11" t="s">
        <v>99</v>
      </c>
      <c r="W78" t="str">
        <f t="shared" si="37"/>
        <v>30%</v>
      </c>
      <c r="X78" t="str">
        <f t="shared" si="38"/>
        <v>20%</v>
      </c>
      <c r="Y78" t="str">
        <f t="shared" si="39"/>
        <v>20%</v>
      </c>
      <c r="Z78" t="str">
        <f t="shared" si="40"/>
        <v>Moderate Sales</v>
      </c>
      <c r="AA78" t="b">
        <f t="shared" si="41"/>
        <v>1</v>
      </c>
      <c r="AB78">
        <f t="shared" si="42"/>
        <v>1</v>
      </c>
      <c r="AC78" t="str">
        <f t="shared" si="43"/>
        <v>Laptop</v>
      </c>
      <c r="AD78">
        <f t="shared" si="54"/>
        <v>1</v>
      </c>
      <c r="AE78" t="str">
        <f t="shared" si="55"/>
        <v>Debit</v>
      </c>
      <c r="AF78" t="str">
        <f t="shared" si="44"/>
        <v>MODERATE SALES</v>
      </c>
      <c r="AG78" t="str">
        <f t="shared" si="45"/>
        <v>True</v>
      </c>
      <c r="AH78" t="str">
        <f t="shared" si="46"/>
        <v>Yuvra</v>
      </c>
      <c r="AI78" t="str">
        <f t="shared" si="47"/>
        <v>4</v>
      </c>
      <c r="AJ78" t="s">
        <v>191</v>
      </c>
      <c r="AK78">
        <f t="shared" si="48"/>
        <v>715</v>
      </c>
      <c r="AL78" t="str">
        <f t="shared" si="49"/>
        <v>Friday</v>
      </c>
      <c r="AM78" s="9">
        <f t="shared" si="50"/>
        <v>40974</v>
      </c>
      <c r="AN78" t="str">
        <f t="shared" si="51"/>
        <v>2months,0days</v>
      </c>
      <c r="AO78" s="9">
        <v>42248</v>
      </c>
      <c r="AP78" s="20" t="str">
        <f t="shared" si="52"/>
        <v>|||||||||||||||||||||||||||||||||||||||||||||||||||||||</v>
      </c>
      <c r="AQ78" s="17" t="s">
        <v>190</v>
      </c>
      <c r="AR78" s="22"/>
      <c r="BE78" t="str">
        <f ca="1" t="shared" si="53"/>
        <v>Sales</v>
      </c>
      <c r="BG78" s="5" t="s">
        <v>124</v>
      </c>
      <c r="BH78" s="5"/>
    </row>
    <row r="79" ht="15" spans="1:60">
      <c r="A79" s="11" t="s">
        <v>109</v>
      </c>
      <c r="B79" s="11" t="s">
        <v>125</v>
      </c>
      <c r="C79" s="13" t="s">
        <v>111</v>
      </c>
      <c r="D79" s="12">
        <v>14</v>
      </c>
      <c r="E79" s="11" t="s">
        <v>146</v>
      </c>
      <c r="F79" s="11" t="s">
        <v>83</v>
      </c>
      <c r="G79" s="11">
        <v>6</v>
      </c>
      <c r="H79" s="11" t="s">
        <v>189</v>
      </c>
      <c r="I79" s="14" t="s">
        <v>190</v>
      </c>
      <c r="J79" s="11" t="s">
        <v>149</v>
      </c>
      <c r="K79" s="11" t="s">
        <v>116</v>
      </c>
      <c r="L79" s="11" t="s">
        <v>150</v>
      </c>
      <c r="M79" s="11" t="s">
        <v>118</v>
      </c>
      <c r="N79" s="15">
        <v>41645</v>
      </c>
      <c r="O79" s="11">
        <v>550</v>
      </c>
      <c r="P79" s="11">
        <v>600</v>
      </c>
      <c r="Q79" s="11">
        <v>15</v>
      </c>
      <c r="R79" s="11" t="s">
        <v>119</v>
      </c>
      <c r="S79" s="11">
        <v>105</v>
      </c>
      <c r="T79" s="11" t="s">
        <v>187</v>
      </c>
      <c r="U79" s="11" t="s">
        <v>188</v>
      </c>
      <c r="V79" s="11" t="s">
        <v>99</v>
      </c>
      <c r="W79" t="str">
        <f t="shared" si="37"/>
        <v>30%</v>
      </c>
      <c r="X79" t="str">
        <f t="shared" si="38"/>
        <v>20%</v>
      </c>
      <c r="Y79" t="str">
        <f t="shared" si="39"/>
        <v>20%</v>
      </c>
      <c r="Z79" t="str">
        <f t="shared" si="40"/>
        <v>Moderate Sales</v>
      </c>
      <c r="AA79" t="b">
        <f t="shared" si="41"/>
        <v>1</v>
      </c>
      <c r="AB79">
        <f t="shared" si="42"/>
        <v>1</v>
      </c>
      <c r="AC79" t="str">
        <f t="shared" si="43"/>
        <v>Laptop</v>
      </c>
      <c r="AD79">
        <f t="shared" si="54"/>
        <v>1</v>
      </c>
      <c r="AE79" t="str">
        <f t="shared" si="55"/>
        <v>Debit</v>
      </c>
      <c r="AF79" t="str">
        <f t="shared" si="44"/>
        <v>MODERATE SALES</v>
      </c>
      <c r="AG79" t="str">
        <f t="shared" si="45"/>
        <v>True</v>
      </c>
      <c r="AH79" t="str">
        <f t="shared" si="46"/>
        <v>Yuvra</v>
      </c>
      <c r="AI79" t="str">
        <f t="shared" si="47"/>
        <v>5</v>
      </c>
      <c r="AJ79" t="s">
        <v>191</v>
      </c>
      <c r="AK79">
        <f t="shared" si="48"/>
        <v>715</v>
      </c>
      <c r="AL79" t="str">
        <f t="shared" si="49"/>
        <v>Monday</v>
      </c>
      <c r="AM79" s="9">
        <f t="shared" si="50"/>
        <v>41704</v>
      </c>
      <c r="AN79" t="str">
        <f t="shared" si="51"/>
        <v>2months,0days</v>
      </c>
      <c r="AP79" s="20" t="str">
        <f t="shared" si="52"/>
        <v>|||||||||||||||||||||||||||||||||||||||||||||||||||||||</v>
      </c>
      <c r="AQ79" s="17" t="s">
        <v>190</v>
      </c>
      <c r="AR79" s="22"/>
      <c r="BE79" t="str">
        <f ca="1" t="shared" si="53"/>
        <v>Sales</v>
      </c>
      <c r="BG79" s="5" t="s">
        <v>125</v>
      </c>
      <c r="BH79" s="5"/>
    </row>
    <row r="80" ht="15" spans="1:60">
      <c r="A80" s="11" t="s">
        <v>54</v>
      </c>
      <c r="B80" s="11" t="s">
        <v>55</v>
      </c>
      <c r="C80" s="13" t="s">
        <v>56</v>
      </c>
      <c r="D80" s="12">
        <v>30</v>
      </c>
      <c r="E80" s="11" t="s">
        <v>57</v>
      </c>
      <c r="F80" s="11" t="s">
        <v>58</v>
      </c>
      <c r="G80" s="11">
        <v>23</v>
      </c>
      <c r="H80" s="11" t="s">
        <v>175</v>
      </c>
      <c r="I80" s="14" t="s">
        <v>84</v>
      </c>
      <c r="J80" s="11" t="s">
        <v>91</v>
      </c>
      <c r="K80" s="11" t="s">
        <v>99</v>
      </c>
      <c r="L80" s="11" t="s">
        <v>63</v>
      </c>
      <c r="M80" s="11" t="s">
        <v>64</v>
      </c>
      <c r="N80" s="15">
        <v>40910</v>
      </c>
      <c r="O80" s="11">
        <v>1020</v>
      </c>
      <c r="P80" s="11">
        <v>1100</v>
      </c>
      <c r="Q80" s="11">
        <v>32</v>
      </c>
      <c r="R80" s="11" t="s">
        <v>119</v>
      </c>
      <c r="S80" s="11">
        <v>100</v>
      </c>
      <c r="T80" s="11" t="s">
        <v>192</v>
      </c>
      <c r="U80" s="11" t="s">
        <v>166</v>
      </c>
      <c r="V80" s="11" t="s">
        <v>123</v>
      </c>
      <c r="W80" t="str">
        <f t="shared" si="37"/>
        <v>30%</v>
      </c>
      <c r="X80" t="str">
        <f t="shared" si="38"/>
        <v>20%</v>
      </c>
      <c r="Y80" t="str">
        <f t="shared" si="39"/>
        <v>20%</v>
      </c>
      <c r="Z80" t="str">
        <f t="shared" si="40"/>
        <v>Great Sales</v>
      </c>
      <c r="AA80" t="b">
        <f t="shared" si="41"/>
        <v>1</v>
      </c>
      <c r="AB80">
        <f t="shared" si="42"/>
        <v>1</v>
      </c>
      <c r="AC80" t="str">
        <f t="shared" si="43"/>
        <v>ATT</v>
      </c>
      <c r="AD80">
        <f t="shared" si="54"/>
        <v>1</v>
      </c>
      <c r="AE80" t="str">
        <f t="shared" si="55"/>
        <v>Credit</v>
      </c>
      <c r="AF80" t="str">
        <f t="shared" si="44"/>
        <v>GREAT SALES</v>
      </c>
      <c r="AG80" t="str">
        <f t="shared" si="45"/>
        <v>True</v>
      </c>
      <c r="AH80" t="str">
        <f t="shared" si="46"/>
        <v>Geoff</v>
      </c>
      <c r="AI80" t="str">
        <f t="shared" si="47"/>
        <v>0</v>
      </c>
      <c r="AJ80" t="s">
        <v>84</v>
      </c>
      <c r="AK80">
        <f t="shared" si="48"/>
        <v>1326</v>
      </c>
      <c r="AL80" t="str">
        <f t="shared" si="49"/>
        <v>Monday</v>
      </c>
      <c r="AM80" s="9">
        <f t="shared" si="50"/>
        <v>40974</v>
      </c>
      <c r="AN80" t="str">
        <f t="shared" si="51"/>
        <v>2months,4days</v>
      </c>
      <c r="AO80" s="28">
        <v>40.45</v>
      </c>
      <c r="AP80" s="20" t="str">
        <f t="shared" si="52"/>
        <v>||||||||||||||||||||||||||||||||||||||||||||||||||||||||||||||||||||||||||||||||||||||||||||||||||||||</v>
      </c>
      <c r="AQ80" s="17" t="s">
        <v>84</v>
      </c>
      <c r="AR80" s="22"/>
      <c r="BE80" t="str">
        <f ca="1" t="shared" si="53"/>
        <v>Finance</v>
      </c>
      <c r="BG80" s="5" t="s">
        <v>125</v>
      </c>
      <c r="BH80" s="5"/>
    </row>
    <row r="81" ht="15" spans="1:60">
      <c r="A81" s="11" t="s">
        <v>54</v>
      </c>
      <c r="B81" s="11" t="s">
        <v>55</v>
      </c>
      <c r="C81" s="13" t="s">
        <v>56</v>
      </c>
      <c r="D81" s="12">
        <v>30</v>
      </c>
      <c r="E81" s="11" t="s">
        <v>57</v>
      </c>
      <c r="F81" s="11" t="s">
        <v>58</v>
      </c>
      <c r="G81" s="11">
        <v>23</v>
      </c>
      <c r="H81" s="11" t="s">
        <v>175</v>
      </c>
      <c r="I81" s="14" t="s">
        <v>84</v>
      </c>
      <c r="J81" s="11" t="s">
        <v>91</v>
      </c>
      <c r="K81" s="11" t="s">
        <v>62</v>
      </c>
      <c r="L81" s="11" t="s">
        <v>63</v>
      </c>
      <c r="M81" s="11" t="s">
        <v>64</v>
      </c>
      <c r="N81" s="15">
        <v>41641</v>
      </c>
      <c r="O81" s="11">
        <v>1020</v>
      </c>
      <c r="P81" s="11">
        <v>1100</v>
      </c>
      <c r="Q81" s="11">
        <v>32</v>
      </c>
      <c r="R81" s="11" t="s">
        <v>119</v>
      </c>
      <c r="S81" s="11">
        <v>100</v>
      </c>
      <c r="T81" s="11" t="s">
        <v>192</v>
      </c>
      <c r="U81" s="11" t="s">
        <v>166</v>
      </c>
      <c r="V81" s="11" t="s">
        <v>123</v>
      </c>
      <c r="W81" t="str">
        <f t="shared" si="37"/>
        <v>30%</v>
      </c>
      <c r="X81" t="str">
        <f t="shared" si="38"/>
        <v>20%</v>
      </c>
      <c r="Y81" t="str">
        <f t="shared" si="39"/>
        <v>20%</v>
      </c>
      <c r="Z81" t="str">
        <f t="shared" si="40"/>
        <v>Great Sales</v>
      </c>
      <c r="AA81" t="b">
        <f t="shared" si="41"/>
        <v>1</v>
      </c>
      <c r="AB81">
        <f t="shared" si="42"/>
        <v>1</v>
      </c>
      <c r="AC81" t="str">
        <f t="shared" si="43"/>
        <v>ATT</v>
      </c>
      <c r="AD81">
        <f t="shared" si="54"/>
        <v>1</v>
      </c>
      <c r="AE81" t="str">
        <f t="shared" si="55"/>
        <v>Credit</v>
      </c>
      <c r="AF81" t="str">
        <f t="shared" si="44"/>
        <v>GREAT SALES</v>
      </c>
      <c r="AG81" t="str">
        <f t="shared" si="45"/>
        <v>True</v>
      </c>
      <c r="AH81" t="str">
        <f t="shared" si="46"/>
        <v>Geoff</v>
      </c>
      <c r="AI81" t="str">
        <f t="shared" si="47"/>
        <v>1</v>
      </c>
      <c r="AJ81" t="s">
        <v>84</v>
      </c>
      <c r="AK81">
        <f t="shared" si="48"/>
        <v>1326</v>
      </c>
      <c r="AL81" t="str">
        <f t="shared" si="49"/>
        <v>Thursday</v>
      </c>
      <c r="AM81" s="9">
        <f t="shared" si="50"/>
        <v>41704</v>
      </c>
      <c r="AN81" t="str">
        <f t="shared" si="51"/>
        <v>2months,4days</v>
      </c>
      <c r="AP81" s="20" t="str">
        <f t="shared" si="52"/>
        <v>||||||||||||||||||||||||||||||||||||||||||||||||||||||||||||||||||||||||||||||||||||||||||||||||||||||</v>
      </c>
      <c r="AQ81" s="17" t="s">
        <v>84</v>
      </c>
      <c r="AR81" s="22"/>
      <c r="BE81" t="str">
        <f ca="1" t="shared" si="53"/>
        <v>Finance</v>
      </c>
      <c r="BG81" s="5" t="s">
        <v>55</v>
      </c>
      <c r="BH81" s="5"/>
    </row>
    <row r="82" ht="15" spans="1:60">
      <c r="A82" s="11" t="s">
        <v>73</v>
      </c>
      <c r="B82" s="11" t="s">
        <v>74</v>
      </c>
      <c r="C82" s="13" t="s">
        <v>75</v>
      </c>
      <c r="D82" s="12">
        <v>20</v>
      </c>
      <c r="E82" s="11" t="s">
        <v>76</v>
      </c>
      <c r="F82" s="11" t="s">
        <v>77</v>
      </c>
      <c r="G82" s="11">
        <v>12</v>
      </c>
      <c r="H82" s="11" t="s">
        <v>104</v>
      </c>
      <c r="I82" s="14" t="s">
        <v>105</v>
      </c>
      <c r="J82" s="11" t="s">
        <v>106</v>
      </c>
      <c r="K82" s="11" t="s">
        <v>62</v>
      </c>
      <c r="L82" s="11" t="s">
        <v>107</v>
      </c>
      <c r="M82" s="11" t="s">
        <v>82</v>
      </c>
      <c r="N82" s="15"/>
      <c r="O82" s="11">
        <v>988</v>
      </c>
      <c r="P82" s="11">
        <v>1200</v>
      </c>
      <c r="Q82" s="11">
        <v>21</v>
      </c>
      <c r="R82" s="11" t="s">
        <v>119</v>
      </c>
      <c r="S82" s="11">
        <v>100</v>
      </c>
      <c r="T82" s="11" t="s">
        <v>192</v>
      </c>
      <c r="U82" s="11" t="s">
        <v>166</v>
      </c>
      <c r="V82" s="11" t="s">
        <v>123</v>
      </c>
      <c r="W82" t="str">
        <f t="shared" si="37"/>
        <v>30%</v>
      </c>
      <c r="X82" t="str">
        <f t="shared" si="38"/>
        <v>20%</v>
      </c>
      <c r="Y82" t="str">
        <f t="shared" si="39"/>
        <v>20%</v>
      </c>
      <c r="Z82" t="str">
        <f t="shared" si="40"/>
        <v>Great Sales</v>
      </c>
      <c r="AA82" t="b">
        <f t="shared" si="41"/>
        <v>1</v>
      </c>
      <c r="AB82">
        <f t="shared" si="42"/>
        <v>1</v>
      </c>
      <c r="AC82" t="str">
        <f t="shared" si="43"/>
        <v>Powder</v>
      </c>
      <c r="AD82">
        <f t="shared" si="54"/>
        <v>1</v>
      </c>
      <c r="AE82" t="str">
        <f t="shared" si="55"/>
        <v>Debit</v>
      </c>
      <c r="AF82" t="str">
        <f t="shared" si="44"/>
        <v>GREAT SALES</v>
      </c>
      <c r="AG82" t="str">
        <f t="shared" si="45"/>
        <v>True</v>
      </c>
      <c r="AH82" t="str">
        <f t="shared" si="46"/>
        <v>Miche</v>
      </c>
      <c r="AI82" t="str">
        <f t="shared" si="47"/>
        <v/>
      </c>
      <c r="AJ82" t="s">
        <v>105</v>
      </c>
      <c r="AK82">
        <f t="shared" si="48"/>
        <v>1284.4</v>
      </c>
      <c r="AL82" t="str">
        <f t="shared" si="49"/>
        <v>Saturday</v>
      </c>
      <c r="AM82" s="9">
        <f t="shared" si="50"/>
        <v>65</v>
      </c>
      <c r="AN82" t="str">
        <f t="shared" si="51"/>
        <v>2months,5days</v>
      </c>
      <c r="AO82">
        <v>0.08</v>
      </c>
      <c r="AP82" s="20" t="str">
        <f t="shared" si="52"/>
        <v>||||||||||||||||||||||||||||||||||||||||||||||||||||||||||||||||||||||||||||||||||||||||||||||||||</v>
      </c>
      <c r="AQ82" s="17" t="s">
        <v>105</v>
      </c>
      <c r="AR82" s="22"/>
      <c r="BE82" t="str">
        <f ca="1" t="shared" si="53"/>
        <v>Accounting</v>
      </c>
      <c r="BG82" s="5" t="s">
        <v>55</v>
      </c>
      <c r="BH82" s="5"/>
    </row>
    <row r="83" ht="15" spans="1:60">
      <c r="A83" s="11" t="s">
        <v>73</v>
      </c>
      <c r="B83" s="11" t="s">
        <v>74</v>
      </c>
      <c r="C83" s="13" t="s">
        <v>75</v>
      </c>
      <c r="D83" s="12">
        <v>20</v>
      </c>
      <c r="E83" s="11" t="s">
        <v>76</v>
      </c>
      <c r="F83" s="11" t="s">
        <v>77</v>
      </c>
      <c r="G83" s="11">
        <v>12</v>
      </c>
      <c r="H83" s="11" t="s">
        <v>104</v>
      </c>
      <c r="I83" s="14" t="s">
        <v>105</v>
      </c>
      <c r="J83" s="11" t="s">
        <v>106</v>
      </c>
      <c r="K83" s="11" t="s">
        <v>62</v>
      </c>
      <c r="L83" s="11" t="s">
        <v>107</v>
      </c>
      <c r="M83" s="11" t="s">
        <v>82</v>
      </c>
      <c r="N83" s="15">
        <v>41642</v>
      </c>
      <c r="O83" s="11">
        <v>988</v>
      </c>
      <c r="P83" s="11">
        <v>1200</v>
      </c>
      <c r="Q83" s="11">
        <v>21</v>
      </c>
      <c r="R83" s="11" t="s">
        <v>119</v>
      </c>
      <c r="S83" s="11">
        <v>100</v>
      </c>
      <c r="T83" s="11" t="s">
        <v>192</v>
      </c>
      <c r="U83" s="11" t="s">
        <v>166</v>
      </c>
      <c r="V83" s="11" t="s">
        <v>123</v>
      </c>
      <c r="W83" t="str">
        <f t="shared" si="37"/>
        <v>30%</v>
      </c>
      <c r="X83" t="str">
        <f t="shared" si="38"/>
        <v>20%</v>
      </c>
      <c r="Y83" t="str">
        <f t="shared" si="39"/>
        <v>20%</v>
      </c>
      <c r="Z83" t="str">
        <f t="shared" si="40"/>
        <v>Great Sales</v>
      </c>
      <c r="AA83" t="b">
        <f t="shared" si="41"/>
        <v>1</v>
      </c>
      <c r="AB83">
        <f t="shared" si="42"/>
        <v>1</v>
      </c>
      <c r="AC83" t="str">
        <f t="shared" si="43"/>
        <v>Powder</v>
      </c>
      <c r="AD83">
        <f t="shared" si="54"/>
        <v>1</v>
      </c>
      <c r="AE83" t="str">
        <f t="shared" si="55"/>
        <v>Debit</v>
      </c>
      <c r="AF83" t="str">
        <f t="shared" si="44"/>
        <v>GREAT SALES</v>
      </c>
      <c r="AG83" t="str">
        <f t="shared" si="45"/>
        <v>True</v>
      </c>
      <c r="AH83" t="str">
        <f t="shared" si="46"/>
        <v>Miche</v>
      </c>
      <c r="AI83" t="str">
        <f t="shared" si="47"/>
        <v>2</v>
      </c>
      <c r="AJ83" t="s">
        <v>105</v>
      </c>
      <c r="AK83">
        <f t="shared" si="48"/>
        <v>1284.4</v>
      </c>
      <c r="AL83" t="str">
        <f t="shared" si="49"/>
        <v>Friday</v>
      </c>
      <c r="AM83" s="9">
        <f t="shared" si="50"/>
        <v>41704</v>
      </c>
      <c r="AN83" t="str">
        <f t="shared" si="51"/>
        <v>2months,3days</v>
      </c>
      <c r="AP83" s="20" t="str">
        <f t="shared" si="52"/>
        <v>||||||||||||||||||||||||||||||||||||||||||||||||||||||||||||||||||||||||||||||||||||||||||||||||||</v>
      </c>
      <c r="AQ83" s="17" t="s">
        <v>105</v>
      </c>
      <c r="AR83" s="22"/>
      <c r="BE83" t="str">
        <f ca="1" t="shared" si="53"/>
        <v>Accounting</v>
      </c>
      <c r="BG83" s="5" t="s">
        <v>74</v>
      </c>
      <c r="BH83" s="5"/>
    </row>
    <row r="84" ht="15" spans="1:60">
      <c r="A84" s="11" t="s">
        <v>109</v>
      </c>
      <c r="B84" s="11" t="s">
        <v>110</v>
      </c>
      <c r="C84" s="13" t="s">
        <v>111</v>
      </c>
      <c r="D84" s="12">
        <v>10</v>
      </c>
      <c r="E84" s="11" t="s">
        <v>112</v>
      </c>
      <c r="F84" s="11" t="s">
        <v>86</v>
      </c>
      <c r="G84" s="11">
        <v>4</v>
      </c>
      <c r="H84" s="11" t="s">
        <v>168</v>
      </c>
      <c r="I84" s="14" t="s">
        <v>169</v>
      </c>
      <c r="J84" s="11" t="s">
        <v>115</v>
      </c>
      <c r="K84" s="11" t="s">
        <v>116</v>
      </c>
      <c r="L84" s="11" t="s">
        <v>117</v>
      </c>
      <c r="M84" s="11" t="s">
        <v>118</v>
      </c>
      <c r="N84" s="15">
        <v>41336</v>
      </c>
      <c r="O84" s="11">
        <v>1020</v>
      </c>
      <c r="P84" s="11">
        <v>400</v>
      </c>
      <c r="Q84" s="11">
        <v>13</v>
      </c>
      <c r="R84" s="11" t="s">
        <v>65</v>
      </c>
      <c r="S84" s="11">
        <v>100</v>
      </c>
      <c r="T84" s="11" t="s">
        <v>192</v>
      </c>
      <c r="U84" s="11" t="s">
        <v>166</v>
      </c>
      <c r="V84" s="11" t="s">
        <v>123</v>
      </c>
      <c r="W84" t="str">
        <f t="shared" si="37"/>
        <v>30%</v>
      </c>
      <c r="X84" t="str">
        <f t="shared" si="38"/>
        <v>20%</v>
      </c>
      <c r="Y84" t="str">
        <f t="shared" si="39"/>
        <v>20%</v>
      </c>
      <c r="Z84" t="str">
        <f t="shared" si="40"/>
        <v>Great Sales</v>
      </c>
      <c r="AA84" t="b">
        <f t="shared" si="41"/>
        <v>1</v>
      </c>
      <c r="AB84">
        <f t="shared" si="42"/>
        <v>1</v>
      </c>
      <c r="AC84" t="str">
        <f t="shared" si="43"/>
        <v>Laptop</v>
      </c>
      <c r="AD84">
        <f t="shared" si="54"/>
        <v>1</v>
      </c>
      <c r="AE84" t="str">
        <f t="shared" si="55"/>
        <v>Debit</v>
      </c>
      <c r="AF84" t="str">
        <f t="shared" si="44"/>
        <v>GREAT SALES</v>
      </c>
      <c r="AG84" t="str">
        <f t="shared" si="45"/>
        <v>True</v>
      </c>
      <c r="AH84" t="str">
        <f t="shared" si="46"/>
        <v>Mohsi</v>
      </c>
      <c r="AI84" t="str">
        <f t="shared" si="47"/>
        <v>6</v>
      </c>
      <c r="AJ84" t="s">
        <v>170</v>
      </c>
      <c r="AK84">
        <f t="shared" si="48"/>
        <v>1326</v>
      </c>
      <c r="AL84" t="str">
        <f t="shared" si="49"/>
        <v>Sunday</v>
      </c>
      <c r="AM84" s="9">
        <f t="shared" si="50"/>
        <v>41400</v>
      </c>
      <c r="AN84" t="str">
        <f t="shared" si="51"/>
        <v>2months,3days</v>
      </c>
      <c r="AP84" s="20" t="str">
        <f t="shared" si="52"/>
        <v>||||||||||||||||||||||||||||||||||||||||||||||||||||||||||||||||||||||||||||||||||||||||||||||||||||||</v>
      </c>
      <c r="AQ84" s="17" t="s">
        <v>169</v>
      </c>
      <c r="AR84" s="22"/>
      <c r="BE84" t="str">
        <f ca="1" t="shared" si="53"/>
        <v>Sales</v>
      </c>
      <c r="BG84" s="5" t="s">
        <v>74</v>
      </c>
      <c r="BH84" s="5"/>
    </row>
    <row r="85" ht="12.6" customHeight="1" spans="1:60">
      <c r="A85" s="11" t="s">
        <v>109</v>
      </c>
      <c r="B85" s="11" t="s">
        <v>110</v>
      </c>
      <c r="C85" s="13" t="s">
        <v>111</v>
      </c>
      <c r="D85" s="12">
        <v>10</v>
      </c>
      <c r="E85" s="11" t="s">
        <v>112</v>
      </c>
      <c r="F85" s="11" t="s">
        <v>86</v>
      </c>
      <c r="G85" s="11">
        <v>4</v>
      </c>
      <c r="H85" s="11" t="s">
        <v>168</v>
      </c>
      <c r="I85" s="14" t="s">
        <v>169</v>
      </c>
      <c r="J85" s="11" t="s">
        <v>115</v>
      </c>
      <c r="K85" s="11" t="s">
        <v>116</v>
      </c>
      <c r="L85" s="11" t="s">
        <v>117</v>
      </c>
      <c r="M85" s="11" t="s">
        <v>118</v>
      </c>
      <c r="N85" s="15">
        <v>42066</v>
      </c>
      <c r="O85" s="11">
        <v>1020</v>
      </c>
      <c r="P85" s="11">
        <v>400</v>
      </c>
      <c r="Q85" s="11">
        <v>13</v>
      </c>
      <c r="R85" s="11" t="s">
        <v>65</v>
      </c>
      <c r="S85" s="11">
        <v>100</v>
      </c>
      <c r="T85" s="11" t="s">
        <v>192</v>
      </c>
      <c r="U85" s="11" t="s">
        <v>166</v>
      </c>
      <c r="V85" s="11" t="s">
        <v>123</v>
      </c>
      <c r="W85" t="str">
        <f t="shared" si="37"/>
        <v>30%</v>
      </c>
      <c r="X85" t="str">
        <f t="shared" si="38"/>
        <v>20%</v>
      </c>
      <c r="Y85" t="str">
        <f t="shared" si="39"/>
        <v>20%</v>
      </c>
      <c r="Z85" t="str">
        <f t="shared" si="40"/>
        <v>Great Sales</v>
      </c>
      <c r="AA85" t="b">
        <f t="shared" si="41"/>
        <v>1</v>
      </c>
      <c r="AB85">
        <f t="shared" si="42"/>
        <v>1</v>
      </c>
      <c r="AC85" t="str">
        <f t="shared" si="43"/>
        <v>Laptop</v>
      </c>
      <c r="AD85">
        <f t="shared" si="54"/>
        <v>1</v>
      </c>
      <c r="AE85" t="str">
        <f t="shared" si="55"/>
        <v>Debit</v>
      </c>
      <c r="AF85" t="str">
        <f t="shared" si="44"/>
        <v>GREAT SALES</v>
      </c>
      <c r="AG85" t="str">
        <f t="shared" si="45"/>
        <v>True</v>
      </c>
      <c r="AH85" t="str">
        <f t="shared" si="46"/>
        <v>Mohsi</v>
      </c>
      <c r="AI85" t="str">
        <f t="shared" si="47"/>
        <v>6</v>
      </c>
      <c r="AJ85" t="s">
        <v>170</v>
      </c>
      <c r="AK85">
        <f t="shared" si="48"/>
        <v>1326</v>
      </c>
      <c r="AL85" t="str">
        <f t="shared" si="49"/>
        <v>Tuesday</v>
      </c>
      <c r="AM85" s="9">
        <f t="shared" si="50"/>
        <v>42130</v>
      </c>
      <c r="AN85" t="str">
        <f t="shared" si="51"/>
        <v>2months,3days</v>
      </c>
      <c r="AP85" s="20" t="str">
        <f t="shared" si="52"/>
        <v>||||||||||||||||||||||||||||||||||||||||||||||||||||||||||||||||||||||||||||||||||||||||||||||||||||||</v>
      </c>
      <c r="AQ85" s="17" t="s">
        <v>169</v>
      </c>
      <c r="AR85" s="22"/>
      <c r="BE85" t="str">
        <f ca="1" t="shared" si="53"/>
        <v>Sales</v>
      </c>
      <c r="BG85" s="5" t="s">
        <v>110</v>
      </c>
      <c r="BH85" s="5"/>
    </row>
    <row r="86" ht="15" spans="1:60">
      <c r="A86" s="11" t="s">
        <v>54</v>
      </c>
      <c r="B86" s="11" t="s">
        <v>88</v>
      </c>
      <c r="C86" s="13" t="s">
        <v>56</v>
      </c>
      <c r="D86" s="12">
        <v>38</v>
      </c>
      <c r="E86" s="11" t="s">
        <v>89</v>
      </c>
      <c r="F86" s="11" t="s">
        <v>72</v>
      </c>
      <c r="G86" s="11">
        <v>28</v>
      </c>
      <c r="H86" s="11" t="s">
        <v>176</v>
      </c>
      <c r="I86" s="14" t="s">
        <v>120</v>
      </c>
      <c r="J86" s="11" t="s">
        <v>91</v>
      </c>
      <c r="K86" s="11" t="s">
        <v>62</v>
      </c>
      <c r="L86" s="11" t="s">
        <v>177</v>
      </c>
      <c r="M86" s="11" t="s">
        <v>93</v>
      </c>
      <c r="N86" s="15">
        <v>41339</v>
      </c>
      <c r="O86" s="11">
        <v>1020</v>
      </c>
      <c r="P86" s="11">
        <v>1500</v>
      </c>
      <c r="Q86" s="11">
        <v>37</v>
      </c>
      <c r="R86" s="11" t="s">
        <v>119</v>
      </c>
      <c r="S86" s="11">
        <v>100</v>
      </c>
      <c r="T86" s="11" t="s">
        <v>192</v>
      </c>
      <c r="U86" s="11" t="s">
        <v>166</v>
      </c>
      <c r="V86" s="11" t="s">
        <v>123</v>
      </c>
      <c r="W86" t="str">
        <f t="shared" si="37"/>
        <v>30%</v>
      </c>
      <c r="X86" t="str">
        <f t="shared" si="38"/>
        <v>20%</v>
      </c>
      <c r="Y86" t="str">
        <f t="shared" si="39"/>
        <v>20%</v>
      </c>
      <c r="Z86" t="str">
        <f t="shared" si="40"/>
        <v>Great Sales</v>
      </c>
      <c r="AA86" t="b">
        <f t="shared" si="41"/>
        <v>1</v>
      </c>
      <c r="AB86">
        <f t="shared" si="42"/>
        <v>1</v>
      </c>
      <c r="AC86" t="str">
        <f t="shared" si="43"/>
        <v>ATT</v>
      </c>
      <c r="AD86">
        <f t="shared" si="54"/>
        <v>1</v>
      </c>
      <c r="AE86" t="str">
        <f t="shared" si="55"/>
        <v>Credit</v>
      </c>
      <c r="AF86" t="str">
        <f t="shared" si="44"/>
        <v>GREAT SALES</v>
      </c>
      <c r="AG86" t="str">
        <f t="shared" si="45"/>
        <v>True</v>
      </c>
      <c r="AH86" t="str">
        <f t="shared" si="46"/>
        <v>Musta</v>
      </c>
      <c r="AI86" t="str">
        <f t="shared" si="47"/>
        <v>9</v>
      </c>
      <c r="AJ86" t="s">
        <v>178</v>
      </c>
      <c r="AK86">
        <f t="shared" si="48"/>
        <v>1326</v>
      </c>
      <c r="AL86" t="str">
        <f t="shared" si="49"/>
        <v>Wednesday</v>
      </c>
      <c r="AM86" s="9">
        <f t="shared" si="50"/>
        <v>41400</v>
      </c>
      <c r="AN86" t="str">
        <f t="shared" si="51"/>
        <v>2months,0days</v>
      </c>
      <c r="AP86" s="20" t="str">
        <f t="shared" si="52"/>
        <v>||||||||||||||||||||||||||||||||||||||||||||||||||||||||||||||||||||||||||||||||||||||||||||||||||||||</v>
      </c>
      <c r="AQ86" s="17" t="s">
        <v>120</v>
      </c>
      <c r="AR86" s="22"/>
      <c r="BE86" t="str">
        <f ca="1" t="shared" si="53"/>
        <v>Audit</v>
      </c>
      <c r="BG86" s="5" t="s">
        <v>110</v>
      </c>
      <c r="BH86" s="5"/>
    </row>
    <row r="87" ht="15" spans="1:60">
      <c r="A87" s="11" t="s">
        <v>54</v>
      </c>
      <c r="B87" s="11" t="s">
        <v>88</v>
      </c>
      <c r="C87" s="13" t="s">
        <v>56</v>
      </c>
      <c r="D87" s="12">
        <v>38</v>
      </c>
      <c r="E87" s="11" t="s">
        <v>89</v>
      </c>
      <c r="F87" s="11" t="s">
        <v>72</v>
      </c>
      <c r="G87" s="11">
        <v>28</v>
      </c>
      <c r="H87" s="11" t="s">
        <v>176</v>
      </c>
      <c r="I87" s="14" t="s">
        <v>120</v>
      </c>
      <c r="J87" s="11" t="s">
        <v>91</v>
      </c>
      <c r="K87" s="11" t="s">
        <v>62</v>
      </c>
      <c r="L87" s="11" t="s">
        <v>177</v>
      </c>
      <c r="M87" s="11" t="s">
        <v>93</v>
      </c>
      <c r="N87" s="15">
        <v>42069</v>
      </c>
      <c r="O87" s="11">
        <v>1020</v>
      </c>
      <c r="P87" s="11">
        <v>1500</v>
      </c>
      <c r="Q87" s="11">
        <v>37</v>
      </c>
      <c r="R87" s="11" t="s">
        <v>119</v>
      </c>
      <c r="S87" s="11">
        <v>100</v>
      </c>
      <c r="T87" s="11" t="s">
        <v>192</v>
      </c>
      <c r="U87" s="11" t="s">
        <v>166</v>
      </c>
      <c r="V87" s="11" t="s">
        <v>123</v>
      </c>
      <c r="W87" t="str">
        <f t="shared" si="37"/>
        <v>30%</v>
      </c>
      <c r="X87" t="str">
        <f t="shared" si="38"/>
        <v>20%</v>
      </c>
      <c r="Y87" t="str">
        <f t="shared" si="39"/>
        <v>20%</v>
      </c>
      <c r="Z87" t="str">
        <f t="shared" si="40"/>
        <v>Great Sales</v>
      </c>
      <c r="AA87" t="b">
        <f t="shared" si="41"/>
        <v>1</v>
      </c>
      <c r="AB87">
        <f t="shared" si="42"/>
        <v>1</v>
      </c>
      <c r="AC87" t="str">
        <f t="shared" si="43"/>
        <v>ATT</v>
      </c>
      <c r="AD87">
        <f t="shared" si="54"/>
        <v>1</v>
      </c>
      <c r="AE87" t="str">
        <f t="shared" si="55"/>
        <v>Credit</v>
      </c>
      <c r="AF87" t="str">
        <f t="shared" si="44"/>
        <v>GREAT SALES</v>
      </c>
      <c r="AG87" t="str">
        <f t="shared" si="45"/>
        <v>True</v>
      </c>
      <c r="AH87" t="str">
        <f t="shared" si="46"/>
        <v>Musta</v>
      </c>
      <c r="AI87" t="str">
        <f t="shared" si="47"/>
        <v>9</v>
      </c>
      <c r="AJ87" t="s">
        <v>178</v>
      </c>
      <c r="AK87">
        <f t="shared" si="48"/>
        <v>1326</v>
      </c>
      <c r="AL87" t="str">
        <f t="shared" si="49"/>
        <v>Friday</v>
      </c>
      <c r="AM87" s="9">
        <f t="shared" si="50"/>
        <v>42130</v>
      </c>
      <c r="AN87" t="str">
        <f t="shared" si="51"/>
        <v>2months,0days</v>
      </c>
      <c r="AP87" s="20" t="str">
        <f t="shared" si="52"/>
        <v>||||||||||||||||||||||||||||||||||||||||||||||||||||||||||||||||||||||||||||||||||||||||||||||||||||||</v>
      </c>
      <c r="AQ87" s="17" t="s">
        <v>120</v>
      </c>
      <c r="AR87" s="22"/>
      <c r="BE87" t="str">
        <f ca="1" t="shared" si="53"/>
        <v>Audit</v>
      </c>
      <c r="BG87" s="5" t="s">
        <v>88</v>
      </c>
      <c r="BH87" s="5"/>
    </row>
    <row r="88" ht="15" spans="1:60">
      <c r="A88" s="11" t="s">
        <v>109</v>
      </c>
      <c r="B88" s="11" t="s">
        <v>110</v>
      </c>
      <c r="C88" s="13" t="s">
        <v>111</v>
      </c>
      <c r="D88" s="12">
        <v>10</v>
      </c>
      <c r="E88" s="11" t="s">
        <v>112</v>
      </c>
      <c r="F88" s="11" t="s">
        <v>86</v>
      </c>
      <c r="G88" s="11">
        <v>1</v>
      </c>
      <c r="H88" s="11" t="s">
        <v>184</v>
      </c>
      <c r="I88" s="14" t="s">
        <v>185</v>
      </c>
      <c r="J88" s="11" t="s">
        <v>115</v>
      </c>
      <c r="K88" s="11" t="s">
        <v>116</v>
      </c>
      <c r="L88" s="11" t="s">
        <v>117</v>
      </c>
      <c r="M88" s="11" t="s">
        <v>118</v>
      </c>
      <c r="N88" s="15">
        <v>40909</v>
      </c>
      <c r="O88" s="11">
        <v>80</v>
      </c>
      <c r="P88" s="11">
        <v>100</v>
      </c>
      <c r="Q88" s="11">
        <v>10</v>
      </c>
      <c r="R88" s="11" t="s">
        <v>119</v>
      </c>
      <c r="S88" s="11">
        <v>100</v>
      </c>
      <c r="T88" s="11" t="s">
        <v>192</v>
      </c>
      <c r="U88" s="11" t="s">
        <v>166</v>
      </c>
      <c r="V88" s="11" t="s">
        <v>123</v>
      </c>
      <c r="W88">
        <f t="shared" si="37"/>
        <v>0</v>
      </c>
      <c r="X88">
        <f t="shared" si="38"/>
        <v>0</v>
      </c>
      <c r="Y88">
        <f t="shared" si="39"/>
        <v>0</v>
      </c>
      <c r="Z88" t="str">
        <f t="shared" si="40"/>
        <v>Poor Sales</v>
      </c>
      <c r="AA88" t="b">
        <f t="shared" si="41"/>
        <v>0</v>
      </c>
      <c r="AB88">
        <f t="shared" si="42"/>
        <v>1</v>
      </c>
      <c r="AC88" t="str">
        <f>VLOOKUP(A89,$A$2:$AB$117,6,0)</f>
        <v>Laptop</v>
      </c>
      <c r="AD88">
        <f t="shared" si="54"/>
        <v>1</v>
      </c>
      <c r="AE88" t="str">
        <f t="shared" si="55"/>
        <v>Debit</v>
      </c>
      <c r="AF88" t="str">
        <f t="shared" si="44"/>
        <v>POOR SALES</v>
      </c>
      <c r="AG88" t="str">
        <f t="shared" si="45"/>
        <v>False</v>
      </c>
      <c r="AH88" t="str">
        <f t="shared" si="46"/>
        <v>Sachi</v>
      </c>
      <c r="AI88" t="str">
        <f t="shared" si="47"/>
        <v>9</v>
      </c>
      <c r="AJ88" t="s">
        <v>186</v>
      </c>
      <c r="AK88">
        <f t="shared" si="48"/>
        <v>80</v>
      </c>
      <c r="AL88" t="str">
        <f t="shared" si="49"/>
        <v>Sunday</v>
      </c>
      <c r="AM88" s="9">
        <f t="shared" si="50"/>
        <v>40974</v>
      </c>
      <c r="AN88" t="str">
        <f t="shared" si="51"/>
        <v>2months,5days</v>
      </c>
      <c r="AO88" s="36">
        <v>42095</v>
      </c>
      <c r="AP88" s="20" t="str">
        <f t="shared" si="52"/>
        <v>||||||||</v>
      </c>
      <c r="AQ88" s="17" t="s">
        <v>185</v>
      </c>
      <c r="AR88" s="22"/>
      <c r="BE88" t="str">
        <f ca="1" t="shared" si="53"/>
        <v>Sales</v>
      </c>
      <c r="BG88" s="5" t="s">
        <v>88</v>
      </c>
      <c r="BH88" s="5"/>
    </row>
    <row r="89" ht="15" spans="1:60">
      <c r="A89" s="11" t="s">
        <v>109</v>
      </c>
      <c r="B89" s="11" t="s">
        <v>110</v>
      </c>
      <c r="C89" s="13" t="s">
        <v>111</v>
      </c>
      <c r="D89" s="12">
        <v>10</v>
      </c>
      <c r="E89" s="11" t="s">
        <v>112</v>
      </c>
      <c r="F89" s="11" t="s">
        <v>86</v>
      </c>
      <c r="G89" s="11">
        <v>1</v>
      </c>
      <c r="H89" s="11" t="s">
        <v>184</v>
      </c>
      <c r="I89" s="14" t="s">
        <v>185</v>
      </c>
      <c r="J89" s="11" t="s">
        <v>115</v>
      </c>
      <c r="K89" s="11" t="s">
        <v>116</v>
      </c>
      <c r="L89" s="11" t="s">
        <v>117</v>
      </c>
      <c r="M89" s="11" t="s">
        <v>118</v>
      </c>
      <c r="N89" s="15">
        <v>41640</v>
      </c>
      <c r="O89" s="11">
        <v>80</v>
      </c>
      <c r="P89" s="11">
        <v>100</v>
      </c>
      <c r="Q89" s="11">
        <v>10</v>
      </c>
      <c r="R89" s="11" t="s">
        <v>119</v>
      </c>
      <c r="S89" s="11">
        <v>100</v>
      </c>
      <c r="T89" s="11" t="s">
        <v>192</v>
      </c>
      <c r="U89" s="11" t="s">
        <v>166</v>
      </c>
      <c r="V89" s="11" t="s">
        <v>123</v>
      </c>
      <c r="W89">
        <f t="shared" si="37"/>
        <v>0</v>
      </c>
      <c r="X89">
        <f t="shared" si="38"/>
        <v>0</v>
      </c>
      <c r="Y89">
        <f t="shared" si="39"/>
        <v>0</v>
      </c>
      <c r="Z89" t="str">
        <f t="shared" si="40"/>
        <v>Poor Sales</v>
      </c>
      <c r="AA89" t="b">
        <f t="shared" si="41"/>
        <v>0</v>
      </c>
      <c r="AB89">
        <f t="shared" si="42"/>
        <v>1</v>
      </c>
      <c r="AC89" t="str">
        <f t="shared" ref="AC89:AC117" si="56">VLOOKUP(A89,$A$2:$AB$117,6,0)</f>
        <v>Laptop</v>
      </c>
      <c r="AD89">
        <f t="shared" si="54"/>
        <v>1</v>
      </c>
      <c r="AE89" t="str">
        <f t="shared" si="55"/>
        <v>Debit</v>
      </c>
      <c r="AF89" t="str">
        <f t="shared" si="44"/>
        <v>POOR SALES</v>
      </c>
      <c r="AG89" t="str">
        <f t="shared" si="45"/>
        <v>False</v>
      </c>
      <c r="AH89" t="str">
        <f t="shared" si="46"/>
        <v>Sachi</v>
      </c>
      <c r="AI89" t="str">
        <f t="shared" si="47"/>
        <v>0</v>
      </c>
      <c r="AJ89" t="s">
        <v>186</v>
      </c>
      <c r="AK89">
        <f t="shared" si="48"/>
        <v>80</v>
      </c>
      <c r="AL89" t="str">
        <f t="shared" si="49"/>
        <v>Wednesday</v>
      </c>
      <c r="AM89" s="9">
        <f t="shared" si="50"/>
        <v>41704</v>
      </c>
      <c r="AN89" t="str">
        <f t="shared" si="51"/>
        <v>2months,5days</v>
      </c>
      <c r="AP89" s="20" t="str">
        <f t="shared" si="52"/>
        <v>||||||||</v>
      </c>
      <c r="AQ89" s="17" t="s">
        <v>185</v>
      </c>
      <c r="AR89" s="22"/>
      <c r="BE89" t="str">
        <f ca="1" t="shared" si="53"/>
        <v>Sales</v>
      </c>
      <c r="BG89" s="5" t="s">
        <v>110</v>
      </c>
      <c r="BH89" s="5"/>
    </row>
    <row r="90" ht="15" spans="1:60">
      <c r="A90" s="11" t="s">
        <v>54</v>
      </c>
      <c r="B90" s="11" t="s">
        <v>55</v>
      </c>
      <c r="C90" s="13" t="s">
        <v>56</v>
      </c>
      <c r="D90" s="12">
        <v>30</v>
      </c>
      <c r="E90" s="11" t="s">
        <v>57</v>
      </c>
      <c r="F90" s="11" t="s">
        <v>58</v>
      </c>
      <c r="G90" s="11">
        <v>21</v>
      </c>
      <c r="H90" s="11" t="s">
        <v>138</v>
      </c>
      <c r="I90" s="14" t="s">
        <v>121</v>
      </c>
      <c r="J90" s="11" t="s">
        <v>130</v>
      </c>
      <c r="K90" s="11" t="s">
        <v>62</v>
      </c>
      <c r="L90" s="11" t="s">
        <v>63</v>
      </c>
      <c r="M90" s="11" t="s">
        <v>64</v>
      </c>
      <c r="N90" s="15">
        <v>41335</v>
      </c>
      <c r="O90" s="11">
        <v>100</v>
      </c>
      <c r="P90" s="11">
        <v>900</v>
      </c>
      <c r="Q90" s="11">
        <v>30</v>
      </c>
      <c r="R90" s="11" t="s">
        <v>119</v>
      </c>
      <c r="S90" s="11">
        <v>100</v>
      </c>
      <c r="T90" s="11" t="s">
        <v>192</v>
      </c>
      <c r="U90" s="11" t="s">
        <v>166</v>
      </c>
      <c r="V90" s="11" t="s">
        <v>123</v>
      </c>
      <c r="W90">
        <f t="shared" si="37"/>
        <v>0</v>
      </c>
      <c r="X90" t="str">
        <f t="shared" si="38"/>
        <v>20%</v>
      </c>
      <c r="Y90">
        <f t="shared" si="39"/>
        <v>0</v>
      </c>
      <c r="Z90" t="str">
        <f t="shared" si="40"/>
        <v>Poor Sales</v>
      </c>
      <c r="AA90" t="b">
        <f t="shared" si="41"/>
        <v>0</v>
      </c>
      <c r="AB90">
        <f t="shared" si="42"/>
        <v>3</v>
      </c>
      <c r="AC90" t="str">
        <f t="shared" si="56"/>
        <v>ATT</v>
      </c>
      <c r="AD90">
        <f t="shared" si="54"/>
        <v>3</v>
      </c>
      <c r="AE90" t="str">
        <f t="shared" si="55"/>
        <v>Credit</v>
      </c>
      <c r="AF90" t="str">
        <f t="shared" si="44"/>
        <v>POOR SALES</v>
      </c>
      <c r="AG90" t="str">
        <f t="shared" si="45"/>
        <v>False</v>
      </c>
      <c r="AH90" t="str">
        <f t="shared" si="46"/>
        <v>Simon</v>
      </c>
      <c r="AI90" t="str">
        <f t="shared" si="47"/>
        <v>5</v>
      </c>
      <c r="AJ90" t="s">
        <v>121</v>
      </c>
      <c r="AK90">
        <f t="shared" si="48"/>
        <v>100</v>
      </c>
      <c r="AL90" t="str">
        <f t="shared" si="49"/>
        <v>Saturday</v>
      </c>
      <c r="AM90" s="9">
        <f t="shared" si="50"/>
        <v>41400</v>
      </c>
      <c r="AN90" t="str">
        <f t="shared" si="51"/>
        <v>2months,4days</v>
      </c>
      <c r="AP90" s="20" t="str">
        <f t="shared" si="52"/>
        <v>||||||||||</v>
      </c>
      <c r="AQ90" s="17" t="s">
        <v>121</v>
      </c>
      <c r="AR90" s="22"/>
      <c r="BE90" t="str">
        <f ca="1" t="shared" si="53"/>
        <v>Finance</v>
      </c>
      <c r="BG90" s="5" t="s">
        <v>110</v>
      </c>
      <c r="BH90" s="5"/>
    </row>
    <row r="91" ht="15" spans="1:60">
      <c r="A91" s="11" t="s">
        <v>54</v>
      </c>
      <c r="B91" s="11" t="s">
        <v>55</v>
      </c>
      <c r="C91" s="13" t="s">
        <v>56</v>
      </c>
      <c r="D91" s="12">
        <v>30</v>
      </c>
      <c r="E91" s="11" t="s">
        <v>57</v>
      </c>
      <c r="F91" s="11" t="s">
        <v>58</v>
      </c>
      <c r="G91" s="11">
        <v>21</v>
      </c>
      <c r="H91" s="11" t="s">
        <v>138</v>
      </c>
      <c r="I91" s="14" t="s">
        <v>121</v>
      </c>
      <c r="J91" s="11" t="s">
        <v>130</v>
      </c>
      <c r="K91" s="11" t="s">
        <v>62</v>
      </c>
      <c r="L91" s="11" t="s">
        <v>63</v>
      </c>
      <c r="M91" s="11" t="s">
        <v>64</v>
      </c>
      <c r="N91" s="15">
        <v>42065</v>
      </c>
      <c r="O91" s="11">
        <v>100</v>
      </c>
      <c r="P91" s="11">
        <v>900</v>
      </c>
      <c r="Q91" s="11">
        <v>30</v>
      </c>
      <c r="R91" s="11" t="s">
        <v>119</v>
      </c>
      <c r="S91" s="11">
        <v>100</v>
      </c>
      <c r="T91" s="11" t="s">
        <v>192</v>
      </c>
      <c r="U91" s="11" t="s">
        <v>166</v>
      </c>
      <c r="V91" s="11" t="s">
        <v>123</v>
      </c>
      <c r="W91">
        <f t="shared" si="37"/>
        <v>0</v>
      </c>
      <c r="X91" t="str">
        <f t="shared" si="38"/>
        <v>20%</v>
      </c>
      <c r="Y91">
        <f t="shared" si="39"/>
        <v>0</v>
      </c>
      <c r="Z91" t="str">
        <f t="shared" si="40"/>
        <v>Poor Sales</v>
      </c>
      <c r="AA91" t="b">
        <f t="shared" si="41"/>
        <v>0</v>
      </c>
      <c r="AB91">
        <f t="shared" si="42"/>
        <v>2</v>
      </c>
      <c r="AC91" t="str">
        <f t="shared" si="56"/>
        <v>ATT</v>
      </c>
      <c r="AD91">
        <f t="shared" si="54"/>
        <v>2</v>
      </c>
      <c r="AE91" t="str">
        <f t="shared" si="55"/>
        <v>Credit</v>
      </c>
      <c r="AF91" t="str">
        <f t="shared" si="44"/>
        <v>POOR SALES</v>
      </c>
      <c r="AG91" t="str">
        <f t="shared" si="45"/>
        <v>False</v>
      </c>
      <c r="AH91" t="str">
        <f t="shared" si="46"/>
        <v>Simon</v>
      </c>
      <c r="AI91" t="str">
        <f t="shared" si="47"/>
        <v>5</v>
      </c>
      <c r="AJ91" t="s">
        <v>121</v>
      </c>
      <c r="AK91">
        <f t="shared" si="48"/>
        <v>100</v>
      </c>
      <c r="AL91" t="str">
        <f t="shared" si="49"/>
        <v>Monday</v>
      </c>
      <c r="AM91" s="9">
        <f t="shared" si="50"/>
        <v>42130</v>
      </c>
      <c r="AN91" t="str">
        <f t="shared" si="51"/>
        <v>2months,4days</v>
      </c>
      <c r="AP91" s="20" t="str">
        <f t="shared" si="52"/>
        <v>||||||||||</v>
      </c>
      <c r="AQ91" s="17" t="s">
        <v>121</v>
      </c>
      <c r="AR91" s="22"/>
      <c r="BE91" t="str">
        <f ca="1" t="shared" si="53"/>
        <v>Finance</v>
      </c>
      <c r="BG91" s="5" t="s">
        <v>55</v>
      </c>
      <c r="BH91" s="5"/>
    </row>
    <row r="92" ht="15" spans="1:60">
      <c r="A92" s="11" t="s">
        <v>73</v>
      </c>
      <c r="B92" s="11" t="s">
        <v>74</v>
      </c>
      <c r="C92" s="13" t="s">
        <v>75</v>
      </c>
      <c r="D92" s="12">
        <v>20</v>
      </c>
      <c r="E92" s="11" t="s">
        <v>76</v>
      </c>
      <c r="F92" s="11" t="s">
        <v>77</v>
      </c>
      <c r="G92" s="11">
        <v>13</v>
      </c>
      <c r="H92" s="11" t="s">
        <v>193</v>
      </c>
      <c r="I92" s="14" t="s">
        <v>194</v>
      </c>
      <c r="J92" s="11" t="s">
        <v>133</v>
      </c>
      <c r="K92" s="11" t="s">
        <v>62</v>
      </c>
      <c r="L92" s="11" t="s">
        <v>81</v>
      </c>
      <c r="M92" s="11" t="s">
        <v>82</v>
      </c>
      <c r="N92" s="15">
        <v>41336</v>
      </c>
      <c r="O92" s="11">
        <v>100</v>
      </c>
      <c r="P92" s="11">
        <v>100</v>
      </c>
      <c r="Q92" s="11">
        <v>22</v>
      </c>
      <c r="R92" s="11" t="s">
        <v>65</v>
      </c>
      <c r="S92" s="11">
        <v>100</v>
      </c>
      <c r="T92" s="11" t="s">
        <v>192</v>
      </c>
      <c r="U92" s="11" t="s">
        <v>166</v>
      </c>
      <c r="V92" s="11" t="s">
        <v>123</v>
      </c>
      <c r="W92">
        <f t="shared" si="37"/>
        <v>0</v>
      </c>
      <c r="X92">
        <f t="shared" si="38"/>
        <v>0</v>
      </c>
      <c r="Y92">
        <f t="shared" si="39"/>
        <v>0</v>
      </c>
      <c r="Z92" t="str">
        <f t="shared" si="40"/>
        <v>Poor Sales</v>
      </c>
      <c r="AA92" t="b">
        <f t="shared" si="41"/>
        <v>0</v>
      </c>
      <c r="AB92">
        <f t="shared" si="42"/>
        <v>1</v>
      </c>
      <c r="AC92" t="str">
        <f t="shared" si="56"/>
        <v>Powder</v>
      </c>
      <c r="AD92">
        <f t="shared" si="54"/>
        <v>1</v>
      </c>
      <c r="AE92" t="str">
        <f t="shared" si="55"/>
        <v>Cash</v>
      </c>
      <c r="AF92" t="str">
        <f t="shared" si="44"/>
        <v>POOR SALES</v>
      </c>
      <c r="AG92" t="str">
        <f t="shared" si="45"/>
        <v>False</v>
      </c>
      <c r="AH92" t="str">
        <f t="shared" si="46"/>
        <v>Steve</v>
      </c>
      <c r="AI92" t="str">
        <f t="shared" si="47"/>
        <v>6</v>
      </c>
      <c r="AJ92" t="s">
        <v>194</v>
      </c>
      <c r="AK92">
        <f t="shared" si="48"/>
        <v>100</v>
      </c>
      <c r="AL92" t="str">
        <f t="shared" si="49"/>
        <v>Sunday</v>
      </c>
      <c r="AM92" s="9">
        <f t="shared" si="50"/>
        <v>41400</v>
      </c>
      <c r="AN92" t="str">
        <f t="shared" si="51"/>
        <v>2months,3days</v>
      </c>
      <c r="AP92" s="20" t="str">
        <f t="shared" si="52"/>
        <v>||||||||||</v>
      </c>
      <c r="AQ92" s="17" t="s">
        <v>194</v>
      </c>
      <c r="AR92" s="22"/>
      <c r="BE92" t="str">
        <f ca="1" t="shared" si="53"/>
        <v>Accounting</v>
      </c>
      <c r="BG92" s="5" t="s">
        <v>55</v>
      </c>
      <c r="BH92" s="5"/>
    </row>
    <row r="93" ht="15" spans="1:60">
      <c r="A93" s="11" t="s">
        <v>73</v>
      </c>
      <c r="B93" s="11" t="s">
        <v>74</v>
      </c>
      <c r="C93" s="13" t="s">
        <v>75</v>
      </c>
      <c r="D93" s="12">
        <v>20</v>
      </c>
      <c r="E93" s="11" t="s">
        <v>76</v>
      </c>
      <c r="F93" s="11" t="s">
        <v>77</v>
      </c>
      <c r="G93" s="11">
        <v>13</v>
      </c>
      <c r="H93" s="11" t="s">
        <v>193</v>
      </c>
      <c r="I93" s="14" t="s">
        <v>194</v>
      </c>
      <c r="J93" s="11" t="s">
        <v>133</v>
      </c>
      <c r="K93" s="11" t="s">
        <v>62</v>
      </c>
      <c r="L93" s="11" t="s">
        <v>81</v>
      </c>
      <c r="M93" s="11" t="s">
        <v>82</v>
      </c>
      <c r="N93" s="15">
        <v>42066</v>
      </c>
      <c r="O93" s="11">
        <v>100</v>
      </c>
      <c r="P93" s="11">
        <v>100</v>
      </c>
      <c r="Q93" s="11">
        <v>22</v>
      </c>
      <c r="R93" s="11" t="s">
        <v>65</v>
      </c>
      <c r="S93" s="11">
        <v>100</v>
      </c>
      <c r="T93" s="11" t="s">
        <v>192</v>
      </c>
      <c r="U93" s="11" t="s">
        <v>166</v>
      </c>
      <c r="V93" s="11" t="s">
        <v>123</v>
      </c>
      <c r="W93">
        <f t="shared" si="37"/>
        <v>0</v>
      </c>
      <c r="X93">
        <f t="shared" si="38"/>
        <v>0</v>
      </c>
      <c r="Y93">
        <f t="shared" si="39"/>
        <v>0</v>
      </c>
      <c r="Z93" t="str">
        <f t="shared" si="40"/>
        <v>Poor Sales</v>
      </c>
      <c r="AA93" t="b">
        <f t="shared" si="41"/>
        <v>0</v>
      </c>
      <c r="AB93">
        <f t="shared" si="42"/>
        <v>1</v>
      </c>
      <c r="AC93" t="str">
        <f t="shared" si="56"/>
        <v>Powder</v>
      </c>
      <c r="AD93">
        <f t="shared" si="54"/>
        <v>1</v>
      </c>
      <c r="AE93" t="str">
        <f t="shared" si="55"/>
        <v>Cash</v>
      </c>
      <c r="AF93" t="str">
        <f t="shared" si="44"/>
        <v>POOR SALES</v>
      </c>
      <c r="AG93" t="str">
        <f t="shared" si="45"/>
        <v>False</v>
      </c>
      <c r="AH93" t="str">
        <f t="shared" si="46"/>
        <v>Steve</v>
      </c>
      <c r="AI93" t="str">
        <f t="shared" si="47"/>
        <v>6</v>
      </c>
      <c r="AJ93" t="s">
        <v>194</v>
      </c>
      <c r="AK93">
        <f t="shared" si="48"/>
        <v>100</v>
      </c>
      <c r="AL93" t="str">
        <f t="shared" si="49"/>
        <v>Tuesday</v>
      </c>
      <c r="AM93" s="9">
        <f t="shared" si="50"/>
        <v>42130</v>
      </c>
      <c r="AN93" t="str">
        <f t="shared" si="51"/>
        <v>2months,3days</v>
      </c>
      <c r="AP93" s="20" t="str">
        <f t="shared" si="52"/>
        <v>||||||||||</v>
      </c>
      <c r="AQ93" s="17" t="s">
        <v>194</v>
      </c>
      <c r="AR93" s="22"/>
      <c r="BE93" t="str">
        <f ca="1" t="shared" si="53"/>
        <v>Accounting</v>
      </c>
      <c r="BG93" s="5" t="s">
        <v>74</v>
      </c>
      <c r="BH93" s="5"/>
    </row>
    <row r="94" ht="15" spans="1:60">
      <c r="A94" s="11" t="s">
        <v>73</v>
      </c>
      <c r="B94" s="11" t="s">
        <v>74</v>
      </c>
      <c r="C94" s="13" t="s">
        <v>75</v>
      </c>
      <c r="D94" s="12">
        <v>20</v>
      </c>
      <c r="E94" s="11" t="s">
        <v>76</v>
      </c>
      <c r="F94" s="11" t="s">
        <v>77</v>
      </c>
      <c r="G94" s="11">
        <v>14</v>
      </c>
      <c r="H94" s="11" t="s">
        <v>195</v>
      </c>
      <c r="I94" s="14" t="s">
        <v>196</v>
      </c>
      <c r="J94" s="11" t="s">
        <v>80</v>
      </c>
      <c r="K94" s="11" t="s">
        <v>62</v>
      </c>
      <c r="L94" s="11" t="s">
        <v>107</v>
      </c>
      <c r="M94" s="11" t="s">
        <v>82</v>
      </c>
      <c r="N94" s="15">
        <v>41337</v>
      </c>
      <c r="O94" s="11">
        <v>550</v>
      </c>
      <c r="P94" s="11">
        <v>200</v>
      </c>
      <c r="Q94" s="11">
        <v>23</v>
      </c>
      <c r="R94" s="11" t="s">
        <v>119</v>
      </c>
      <c r="S94" s="11">
        <v>101</v>
      </c>
      <c r="T94" s="11" t="s">
        <v>197</v>
      </c>
      <c r="U94" s="11" t="s">
        <v>158</v>
      </c>
      <c r="V94" s="11" t="s">
        <v>68</v>
      </c>
      <c r="W94" t="str">
        <f t="shared" si="37"/>
        <v>30%</v>
      </c>
      <c r="X94" t="str">
        <f t="shared" si="38"/>
        <v>20%</v>
      </c>
      <c r="Y94">
        <f t="shared" si="39"/>
        <v>0</v>
      </c>
      <c r="Z94" t="str">
        <f t="shared" si="40"/>
        <v>Moderate Sales</v>
      </c>
      <c r="AA94" t="b">
        <f t="shared" si="41"/>
        <v>1</v>
      </c>
      <c r="AB94">
        <f t="shared" si="42"/>
        <v>9</v>
      </c>
      <c r="AC94" t="str">
        <f t="shared" si="56"/>
        <v>Powder</v>
      </c>
      <c r="AD94">
        <f t="shared" si="54"/>
        <v>9</v>
      </c>
      <c r="AE94" t="str">
        <f t="shared" si="55"/>
        <v>Credit</v>
      </c>
      <c r="AF94" t="str">
        <f t="shared" si="44"/>
        <v>MODERATE SALES</v>
      </c>
      <c r="AG94" t="str">
        <f t="shared" si="45"/>
        <v>True</v>
      </c>
      <c r="AH94" t="str">
        <f t="shared" si="46"/>
        <v>Glenn</v>
      </c>
      <c r="AI94" t="str">
        <f t="shared" si="47"/>
        <v>7</v>
      </c>
      <c r="AJ94" t="s">
        <v>198</v>
      </c>
      <c r="AK94">
        <f t="shared" si="48"/>
        <v>715</v>
      </c>
      <c r="AL94" t="str">
        <f t="shared" si="49"/>
        <v>Monday</v>
      </c>
      <c r="AM94" s="9">
        <f t="shared" si="50"/>
        <v>41400</v>
      </c>
      <c r="AN94" t="str">
        <f t="shared" si="51"/>
        <v>2months,2days</v>
      </c>
      <c r="AP94" s="20" t="str">
        <f t="shared" si="52"/>
        <v>|||||||||||||||||||||||||||||||||||||||||||||||||||||||</v>
      </c>
      <c r="AQ94" s="17" t="s">
        <v>196</v>
      </c>
      <c r="AR94" s="22"/>
      <c r="BE94" t="str">
        <f ca="1" t="shared" si="53"/>
        <v>Accounting</v>
      </c>
      <c r="BG94" s="5" t="s">
        <v>74</v>
      </c>
      <c r="BH94" s="5"/>
    </row>
    <row r="95" ht="15" spans="1:60">
      <c r="A95" s="11" t="s">
        <v>73</v>
      </c>
      <c r="B95" s="11" t="s">
        <v>74</v>
      </c>
      <c r="C95" s="13" t="s">
        <v>75</v>
      </c>
      <c r="D95" s="12">
        <v>20</v>
      </c>
      <c r="E95" s="11" t="s">
        <v>76</v>
      </c>
      <c r="F95" s="11" t="s">
        <v>77</v>
      </c>
      <c r="G95" s="11">
        <v>14</v>
      </c>
      <c r="H95" s="11" t="s">
        <v>195</v>
      </c>
      <c r="I95" s="14" t="s">
        <v>196</v>
      </c>
      <c r="J95" s="11" t="s">
        <v>80</v>
      </c>
      <c r="K95" s="11" t="s">
        <v>62</v>
      </c>
      <c r="L95" s="11" t="s">
        <v>107</v>
      </c>
      <c r="M95" s="11" t="s">
        <v>82</v>
      </c>
      <c r="N95" s="15">
        <v>42067</v>
      </c>
      <c r="O95" s="11">
        <v>550</v>
      </c>
      <c r="P95" s="11">
        <v>200</v>
      </c>
      <c r="Q95" s="11">
        <v>23</v>
      </c>
      <c r="R95" s="11" t="s">
        <v>119</v>
      </c>
      <c r="S95" s="11">
        <v>101</v>
      </c>
      <c r="T95" s="11" t="s">
        <v>197</v>
      </c>
      <c r="U95" s="11" t="s">
        <v>158</v>
      </c>
      <c r="V95" s="11" t="s">
        <v>68</v>
      </c>
      <c r="W95" t="str">
        <f t="shared" si="37"/>
        <v>30%</v>
      </c>
      <c r="X95" t="str">
        <f t="shared" si="38"/>
        <v>20%</v>
      </c>
      <c r="Y95">
        <f t="shared" si="39"/>
        <v>0</v>
      </c>
      <c r="Z95" t="str">
        <f t="shared" si="40"/>
        <v>Moderate Sales</v>
      </c>
      <c r="AA95" t="b">
        <f t="shared" si="41"/>
        <v>1</v>
      </c>
      <c r="AB95">
        <f t="shared" si="42"/>
        <v>8</v>
      </c>
      <c r="AC95" t="str">
        <f t="shared" si="56"/>
        <v>Powder</v>
      </c>
      <c r="AD95">
        <f t="shared" si="54"/>
        <v>8</v>
      </c>
      <c r="AE95" t="str">
        <f t="shared" si="55"/>
        <v>Cash</v>
      </c>
      <c r="AF95" t="str">
        <f t="shared" si="44"/>
        <v>MODERATE SALES</v>
      </c>
      <c r="AG95" t="str">
        <f t="shared" si="45"/>
        <v>True</v>
      </c>
      <c r="AH95" t="str">
        <f t="shared" si="46"/>
        <v>Glenn</v>
      </c>
      <c r="AI95" t="str">
        <f t="shared" si="47"/>
        <v>7</v>
      </c>
      <c r="AJ95" t="s">
        <v>198</v>
      </c>
      <c r="AK95">
        <f t="shared" si="48"/>
        <v>715</v>
      </c>
      <c r="AL95" t="str">
        <f t="shared" si="49"/>
        <v>Wednesday</v>
      </c>
      <c r="AM95" s="9">
        <f t="shared" si="50"/>
        <v>42130</v>
      </c>
      <c r="AN95" t="str">
        <f t="shared" si="51"/>
        <v>2months,2days</v>
      </c>
      <c r="AP95" s="20" t="str">
        <f t="shared" si="52"/>
        <v>|||||||||||||||||||||||||||||||||||||||||||||||||||||||</v>
      </c>
      <c r="AQ95" s="17" t="s">
        <v>196</v>
      </c>
      <c r="AR95" s="22"/>
      <c r="BE95" t="str">
        <f ca="1" t="shared" si="53"/>
        <v>Accounting</v>
      </c>
      <c r="BG95" s="5" t="s">
        <v>74</v>
      </c>
      <c r="BH95" s="5"/>
    </row>
    <row r="96" ht="15" spans="1:60">
      <c r="A96" s="11" t="s">
        <v>54</v>
      </c>
      <c r="B96" s="11" t="s">
        <v>55</v>
      </c>
      <c r="C96" s="13" t="s">
        <v>56</v>
      </c>
      <c r="D96" s="12">
        <v>30</v>
      </c>
      <c r="E96" s="11" t="s">
        <v>57</v>
      </c>
      <c r="F96" s="11" t="s">
        <v>58</v>
      </c>
      <c r="G96" s="11">
        <v>24</v>
      </c>
      <c r="H96" s="11" t="s">
        <v>151</v>
      </c>
      <c r="I96" s="14" t="s">
        <v>100</v>
      </c>
      <c r="J96" s="11" t="s">
        <v>199</v>
      </c>
      <c r="K96" s="11" t="s">
        <v>99</v>
      </c>
      <c r="L96" s="11" t="s">
        <v>63</v>
      </c>
      <c r="M96" s="11" t="s">
        <v>64</v>
      </c>
      <c r="N96" s="15">
        <v>40911</v>
      </c>
      <c r="O96" s="11">
        <v>988</v>
      </c>
      <c r="P96" s="11">
        <v>1200</v>
      </c>
      <c r="Q96" s="11">
        <v>33</v>
      </c>
      <c r="R96" s="11" t="s">
        <v>119</v>
      </c>
      <c r="S96" s="11">
        <v>101</v>
      </c>
      <c r="T96" s="11" t="s">
        <v>197</v>
      </c>
      <c r="U96" s="11" t="s">
        <v>158</v>
      </c>
      <c r="V96" s="11" t="s">
        <v>68</v>
      </c>
      <c r="W96" t="str">
        <f t="shared" si="37"/>
        <v>30%</v>
      </c>
      <c r="X96" t="str">
        <f t="shared" si="38"/>
        <v>20%</v>
      </c>
      <c r="Y96" t="str">
        <f t="shared" si="39"/>
        <v>20%</v>
      </c>
      <c r="Z96" t="str">
        <f t="shared" si="40"/>
        <v>Great Sales</v>
      </c>
      <c r="AA96" t="b">
        <f t="shared" si="41"/>
        <v>1</v>
      </c>
      <c r="AB96">
        <f t="shared" si="42"/>
        <v>1</v>
      </c>
      <c r="AC96" t="str">
        <f t="shared" si="56"/>
        <v>ATT</v>
      </c>
      <c r="AD96">
        <f t="shared" si="54"/>
        <v>1</v>
      </c>
      <c r="AE96" t="str">
        <f t="shared" si="55"/>
        <v>Credit</v>
      </c>
      <c r="AF96" t="str">
        <f t="shared" si="44"/>
        <v>GREAT SALES</v>
      </c>
      <c r="AG96" t="str">
        <f t="shared" si="45"/>
        <v>True</v>
      </c>
      <c r="AH96" t="str">
        <f t="shared" si="46"/>
        <v>John</v>
      </c>
      <c r="AI96" t="str">
        <f t="shared" si="47"/>
        <v>1</v>
      </c>
      <c r="AJ96" t="s">
        <v>100</v>
      </c>
      <c r="AK96">
        <f t="shared" si="48"/>
        <v>1284.4</v>
      </c>
      <c r="AL96" t="str">
        <f t="shared" si="49"/>
        <v>Tuesday</v>
      </c>
      <c r="AM96" s="9">
        <f t="shared" si="50"/>
        <v>40974</v>
      </c>
      <c r="AN96" t="str">
        <f t="shared" si="51"/>
        <v>2months,3days</v>
      </c>
      <c r="AO96" s="37">
        <v>70.34</v>
      </c>
      <c r="AP96" s="20" t="str">
        <f t="shared" si="52"/>
        <v>||||||||||||||||||||||||||||||||||||||||||||||||||||||||||||||||||||||||||||||||||||||||||||||||||</v>
      </c>
      <c r="AQ96" s="17" t="s">
        <v>100</v>
      </c>
      <c r="AR96" s="22"/>
      <c r="BE96" t="str">
        <f ca="1" t="shared" si="53"/>
        <v>Finance</v>
      </c>
      <c r="BG96" s="5" t="s">
        <v>74</v>
      </c>
      <c r="BH96" s="5"/>
    </row>
    <row r="97" ht="15" spans="1:60">
      <c r="A97" s="11" t="s">
        <v>54</v>
      </c>
      <c r="B97" s="11" t="s">
        <v>55</v>
      </c>
      <c r="C97" s="13" t="s">
        <v>56</v>
      </c>
      <c r="D97" s="12">
        <v>30</v>
      </c>
      <c r="E97" s="11" t="s">
        <v>57</v>
      </c>
      <c r="F97" s="11" t="s">
        <v>58</v>
      </c>
      <c r="G97" s="11">
        <v>24</v>
      </c>
      <c r="H97" s="11" t="s">
        <v>151</v>
      </c>
      <c r="I97" s="14" t="s">
        <v>100</v>
      </c>
      <c r="J97" s="11" t="s">
        <v>61</v>
      </c>
      <c r="K97" s="11" t="s">
        <v>62</v>
      </c>
      <c r="L97" s="11" t="s">
        <v>63</v>
      </c>
      <c r="M97" s="11" t="s">
        <v>64</v>
      </c>
      <c r="N97" s="15">
        <v>41642</v>
      </c>
      <c r="O97" s="11">
        <v>988</v>
      </c>
      <c r="P97" s="11">
        <v>1200</v>
      </c>
      <c r="Q97" s="11">
        <v>33</v>
      </c>
      <c r="R97" s="11" t="s">
        <v>119</v>
      </c>
      <c r="S97" s="11">
        <v>101</v>
      </c>
      <c r="T97" s="11" t="s">
        <v>197</v>
      </c>
      <c r="U97" s="11" t="s">
        <v>158</v>
      </c>
      <c r="V97" s="11" t="s">
        <v>68</v>
      </c>
      <c r="W97" t="str">
        <f t="shared" si="37"/>
        <v>30%</v>
      </c>
      <c r="X97" t="str">
        <f t="shared" si="38"/>
        <v>20%</v>
      </c>
      <c r="Y97" t="str">
        <f t="shared" si="39"/>
        <v>20%</v>
      </c>
      <c r="Z97" t="str">
        <f t="shared" si="40"/>
        <v>Great Sales</v>
      </c>
      <c r="AA97" t="b">
        <f t="shared" si="41"/>
        <v>1</v>
      </c>
      <c r="AB97">
        <f t="shared" si="42"/>
        <v>1</v>
      </c>
      <c r="AC97" t="str">
        <f t="shared" si="56"/>
        <v>ATT</v>
      </c>
      <c r="AD97">
        <f t="shared" si="54"/>
        <v>1</v>
      </c>
      <c r="AE97" t="str">
        <f t="shared" si="55"/>
        <v>Credit</v>
      </c>
      <c r="AF97" t="str">
        <f t="shared" si="44"/>
        <v>GREAT SALES</v>
      </c>
      <c r="AG97" t="str">
        <f t="shared" si="45"/>
        <v>True</v>
      </c>
      <c r="AH97" t="str">
        <f t="shared" si="46"/>
        <v>John</v>
      </c>
      <c r="AI97" t="str">
        <f t="shared" si="47"/>
        <v>2</v>
      </c>
      <c r="AJ97" t="s">
        <v>100</v>
      </c>
      <c r="AK97">
        <f t="shared" si="48"/>
        <v>1284.4</v>
      </c>
      <c r="AL97" t="str">
        <f t="shared" si="49"/>
        <v>Friday</v>
      </c>
      <c r="AM97" s="9">
        <f t="shared" si="50"/>
        <v>41704</v>
      </c>
      <c r="AN97" t="str">
        <f t="shared" si="51"/>
        <v>2months,3days</v>
      </c>
      <c r="AP97" s="20" t="str">
        <f t="shared" si="52"/>
        <v>||||||||||||||||||||||||||||||||||||||||||||||||||||||||||||||||||||||||||||||||||||||||||||||||||</v>
      </c>
      <c r="AQ97" s="17" t="s">
        <v>100</v>
      </c>
      <c r="AR97" s="22"/>
      <c r="BE97" t="str">
        <f ca="1" t="shared" si="53"/>
        <v>Finance</v>
      </c>
      <c r="BG97" s="5" t="s">
        <v>55</v>
      </c>
      <c r="BH97" s="5"/>
    </row>
    <row r="98" ht="15" spans="1:60">
      <c r="A98" s="11" t="s">
        <v>54</v>
      </c>
      <c r="B98" s="11" t="s">
        <v>88</v>
      </c>
      <c r="C98" s="13" t="s">
        <v>56</v>
      </c>
      <c r="D98" s="12">
        <v>38</v>
      </c>
      <c r="E98" s="11" t="s">
        <v>89</v>
      </c>
      <c r="F98" s="11" t="s">
        <v>72</v>
      </c>
      <c r="G98" s="11">
        <v>29</v>
      </c>
      <c r="H98" s="11" t="s">
        <v>152</v>
      </c>
      <c r="I98" s="14" t="s">
        <v>103</v>
      </c>
      <c r="J98" s="11" t="s">
        <v>130</v>
      </c>
      <c r="K98" s="11" t="s">
        <v>62</v>
      </c>
      <c r="L98" s="11" t="s">
        <v>153</v>
      </c>
      <c r="M98" s="11" t="s">
        <v>93</v>
      </c>
      <c r="N98" s="15">
        <v>41340</v>
      </c>
      <c r="O98" s="11">
        <v>988</v>
      </c>
      <c r="P98" s="11">
        <v>1600</v>
      </c>
      <c r="Q98" s="11">
        <v>38</v>
      </c>
      <c r="R98" s="11" t="s">
        <v>65</v>
      </c>
      <c r="S98" s="11">
        <v>101</v>
      </c>
      <c r="T98" s="11" t="s">
        <v>197</v>
      </c>
      <c r="U98" s="11" t="s">
        <v>158</v>
      </c>
      <c r="V98" s="11" t="s">
        <v>68</v>
      </c>
      <c r="W98" t="str">
        <f t="shared" ref="W98:W117" si="57">IF(O98&gt;200,"30%",0)</f>
        <v>30%</v>
      </c>
      <c r="X98" t="str">
        <f t="shared" ref="X98:X117" si="58">IF(OR(O98&gt;200,P98&gt;300),"20%",0)</f>
        <v>20%</v>
      </c>
      <c r="Y98" t="str">
        <f t="shared" ref="Y98:Y117" si="59">IF(AND(O98&gt;200,P98&gt;300),"20%",0)</f>
        <v>20%</v>
      </c>
      <c r="Z98" t="str">
        <f t="shared" ref="Z98:Z117" si="60">IF(O98&gt;800,"Great Sales",IF(O98&gt;400,"Moderate Sales","Poor Sales"))</f>
        <v>Great Sales</v>
      </c>
      <c r="AA98" t="b">
        <f t="shared" ref="AA98:AA117" si="61">NOT(W98=0)</f>
        <v>1</v>
      </c>
      <c r="AB98">
        <f t="shared" ref="AB98:AB117" si="62">IFERROR(AD98,"Error")</f>
        <v>1</v>
      </c>
      <c r="AC98" t="str">
        <f t="shared" si="56"/>
        <v>ATT</v>
      </c>
      <c r="AD98">
        <f t="shared" si="54"/>
        <v>1</v>
      </c>
      <c r="AE98" t="str">
        <f t="shared" si="55"/>
        <v>Credit</v>
      </c>
      <c r="AF98" t="str">
        <f t="shared" ref="AF98:AF117" si="63">UPPER(Z98)</f>
        <v>GREAT SALES</v>
      </c>
      <c r="AG98" t="str">
        <f t="shared" ref="AG98:AG117" si="64">PROPER(AA98)</f>
        <v>True</v>
      </c>
      <c r="AH98" t="str">
        <f t="shared" ref="AH98:AH117" si="65">LEFT(I98,5)</f>
        <v>Kaush</v>
      </c>
      <c r="AI98" t="str">
        <f t="shared" ref="AI98:AI117" si="66">MID(N98,5,8)</f>
        <v>0</v>
      </c>
      <c r="AJ98" t="s">
        <v>103</v>
      </c>
      <c r="AK98">
        <f t="shared" ref="AK98:AK117" si="67">O98*(1+W98)</f>
        <v>1284.4</v>
      </c>
      <c r="AL98" t="str">
        <f t="shared" ref="AL98:AL117" si="68">TEXT(N98,"DDDD")</f>
        <v>Thursday</v>
      </c>
      <c r="AM98" s="9">
        <f t="shared" ref="AM98:AM117" si="69">EOMONTH(N98,1)+6</f>
        <v>41400</v>
      </c>
      <c r="AN98" t="str">
        <f t="shared" ref="AN98:AN117" si="70">DATEDIF(N98,AM98,"ym")&amp;"months,"&amp;DATEDIF(N98,AM98,"md")&amp;"days"</f>
        <v>1months,29days</v>
      </c>
      <c r="AP98" s="20" t="str">
        <f t="shared" ref="AP98:AP117" si="71">REPT("|",O98/10)</f>
        <v>||||||||||||||||||||||||||||||||||||||||||||||||||||||||||||||||||||||||||||||||||||||||||||||||||</v>
      </c>
      <c r="AQ98" s="17" t="s">
        <v>103</v>
      </c>
      <c r="AR98" s="22"/>
      <c r="BE98" t="str">
        <f ca="1" t="shared" si="53"/>
        <v>Audit</v>
      </c>
      <c r="BG98" s="5" t="s">
        <v>55</v>
      </c>
      <c r="BH98" s="5"/>
    </row>
    <row r="99" ht="15" spans="1:60">
      <c r="A99" s="11" t="s">
        <v>54</v>
      </c>
      <c r="B99" s="11" t="s">
        <v>88</v>
      </c>
      <c r="C99" s="13" t="s">
        <v>56</v>
      </c>
      <c r="D99" s="12">
        <v>38</v>
      </c>
      <c r="E99" s="11" t="s">
        <v>89</v>
      </c>
      <c r="F99" s="11" t="s">
        <v>72</v>
      </c>
      <c r="G99" s="11">
        <v>29</v>
      </c>
      <c r="H99" s="11" t="s">
        <v>152</v>
      </c>
      <c r="I99" s="14" t="s">
        <v>103</v>
      </c>
      <c r="J99" s="11" t="s">
        <v>130</v>
      </c>
      <c r="K99" s="11" t="s">
        <v>62</v>
      </c>
      <c r="L99" s="11" t="s">
        <v>153</v>
      </c>
      <c r="M99" s="11" t="s">
        <v>93</v>
      </c>
      <c r="N99" s="15">
        <v>42070</v>
      </c>
      <c r="O99" s="11">
        <v>988</v>
      </c>
      <c r="P99" s="11">
        <v>1600</v>
      </c>
      <c r="Q99" s="11">
        <v>38</v>
      </c>
      <c r="R99" s="11" t="s">
        <v>65</v>
      </c>
      <c r="S99" s="11">
        <v>101</v>
      </c>
      <c r="T99" s="11" t="s">
        <v>197</v>
      </c>
      <c r="U99" s="11" t="s">
        <v>158</v>
      </c>
      <c r="V99" s="11" t="s">
        <v>68</v>
      </c>
      <c r="W99" t="str">
        <f t="shared" si="57"/>
        <v>30%</v>
      </c>
      <c r="X99" t="str">
        <f t="shared" si="58"/>
        <v>20%</v>
      </c>
      <c r="Y99" t="str">
        <f t="shared" si="59"/>
        <v>20%</v>
      </c>
      <c r="Z99" t="str">
        <f t="shared" si="60"/>
        <v>Great Sales</v>
      </c>
      <c r="AA99" t="b">
        <f t="shared" si="61"/>
        <v>1</v>
      </c>
      <c r="AB99">
        <f t="shared" si="62"/>
        <v>1</v>
      </c>
      <c r="AC99" t="str">
        <f t="shared" si="56"/>
        <v>ATT</v>
      </c>
      <c r="AD99">
        <f t="shared" si="54"/>
        <v>1</v>
      </c>
      <c r="AE99" t="str">
        <f t="shared" si="55"/>
        <v>Credit</v>
      </c>
      <c r="AF99" t="str">
        <f t="shared" si="63"/>
        <v>GREAT SALES</v>
      </c>
      <c r="AG99" t="str">
        <f t="shared" si="64"/>
        <v>True</v>
      </c>
      <c r="AH99" t="str">
        <f t="shared" si="65"/>
        <v>Kaush</v>
      </c>
      <c r="AI99" t="str">
        <f t="shared" si="66"/>
        <v>0</v>
      </c>
      <c r="AJ99" t="s">
        <v>103</v>
      </c>
      <c r="AK99">
        <f t="shared" si="67"/>
        <v>1284.4</v>
      </c>
      <c r="AL99" t="str">
        <f t="shared" si="68"/>
        <v>Saturday</v>
      </c>
      <c r="AM99" s="9">
        <f t="shared" si="69"/>
        <v>42130</v>
      </c>
      <c r="AN99" t="str">
        <f t="shared" si="70"/>
        <v>1months,29days</v>
      </c>
      <c r="AP99" s="20" t="str">
        <f t="shared" si="71"/>
        <v>||||||||||||||||||||||||||||||||||||||||||||||||||||||||||||||||||||||||||||||||||||||||||||||||||</v>
      </c>
      <c r="AQ99" s="17" t="s">
        <v>103</v>
      </c>
      <c r="AR99" s="22"/>
      <c r="BE99" t="str">
        <f ca="1" t="shared" si="53"/>
        <v>Audit</v>
      </c>
      <c r="BG99" s="5" t="s">
        <v>88</v>
      </c>
      <c r="BH99" s="5"/>
    </row>
    <row r="100" ht="15" spans="1:60">
      <c r="A100" s="11" t="s">
        <v>54</v>
      </c>
      <c r="B100" s="11" t="s">
        <v>55</v>
      </c>
      <c r="C100" s="13" t="s">
        <v>56</v>
      </c>
      <c r="D100" s="12">
        <v>30</v>
      </c>
      <c r="E100" s="11" t="s">
        <v>57</v>
      </c>
      <c r="F100" s="11" t="s">
        <v>58</v>
      </c>
      <c r="G100" s="11">
        <v>22</v>
      </c>
      <c r="H100" s="11" t="s">
        <v>97</v>
      </c>
      <c r="I100" s="14" t="s">
        <v>98</v>
      </c>
      <c r="J100" s="11" t="s">
        <v>61</v>
      </c>
      <c r="K100" s="11" t="s">
        <v>62</v>
      </c>
      <c r="L100" s="11" t="s">
        <v>63</v>
      </c>
      <c r="M100" s="11" t="s">
        <v>64</v>
      </c>
      <c r="N100" s="15">
        <v>41336</v>
      </c>
      <c r="O100" s="11">
        <v>1000</v>
      </c>
      <c r="P100" s="11">
        <v>1000</v>
      </c>
      <c r="Q100" s="11">
        <v>31</v>
      </c>
      <c r="R100" s="11" t="s">
        <v>65</v>
      </c>
      <c r="S100" s="11">
        <v>101</v>
      </c>
      <c r="T100" s="11" t="s">
        <v>197</v>
      </c>
      <c r="U100" s="11" t="s">
        <v>158</v>
      </c>
      <c r="V100" s="11" t="s">
        <v>68</v>
      </c>
      <c r="W100" t="str">
        <f t="shared" si="57"/>
        <v>30%</v>
      </c>
      <c r="X100" t="str">
        <f t="shared" si="58"/>
        <v>20%</v>
      </c>
      <c r="Y100" t="str">
        <f t="shared" si="59"/>
        <v>20%</v>
      </c>
      <c r="Z100" t="str">
        <f t="shared" si="60"/>
        <v>Great Sales</v>
      </c>
      <c r="AA100" t="b">
        <f t="shared" si="61"/>
        <v>1</v>
      </c>
      <c r="AB100">
        <f t="shared" si="62"/>
        <v>1</v>
      </c>
      <c r="AC100" t="str">
        <f t="shared" si="56"/>
        <v>ATT</v>
      </c>
      <c r="AD100">
        <f t="shared" ref="AD100:AD117" si="72">MATCH(Y100,X100:X214,0)</f>
        <v>1</v>
      </c>
      <c r="AE100" t="str">
        <f t="shared" si="55"/>
        <v>Cash</v>
      </c>
      <c r="AF100" t="str">
        <f t="shared" si="63"/>
        <v>GREAT SALES</v>
      </c>
      <c r="AG100" t="str">
        <f t="shared" si="64"/>
        <v>True</v>
      </c>
      <c r="AH100" t="str">
        <f t="shared" si="65"/>
        <v>Mark</v>
      </c>
      <c r="AI100" t="str">
        <f t="shared" si="66"/>
        <v>6</v>
      </c>
      <c r="AJ100" t="s">
        <v>98</v>
      </c>
      <c r="AK100">
        <f t="shared" si="67"/>
        <v>1300</v>
      </c>
      <c r="AL100" t="str">
        <f t="shared" si="68"/>
        <v>Sunday</v>
      </c>
      <c r="AM100" s="9">
        <f t="shared" si="69"/>
        <v>41400</v>
      </c>
      <c r="AN100" t="str">
        <f t="shared" si="70"/>
        <v>2months,3days</v>
      </c>
      <c r="AP100" s="20" t="str">
        <f t="shared" si="71"/>
        <v>||||||||||||||||||||||||||||||||||||||||||||||||||||||||||||||||||||||||||||||||||||||||||||||||||||</v>
      </c>
      <c r="AQ100" s="17" t="s">
        <v>98</v>
      </c>
      <c r="AR100" s="22"/>
      <c r="BE100" t="str">
        <f ca="1" t="shared" si="53"/>
        <v>Finance</v>
      </c>
      <c r="BG100" s="5" t="s">
        <v>88</v>
      </c>
      <c r="BH100" s="5"/>
    </row>
    <row r="101" ht="15" spans="1:60">
      <c r="A101" s="11" t="s">
        <v>54</v>
      </c>
      <c r="B101" s="11" t="s">
        <v>55</v>
      </c>
      <c r="C101" s="13" t="s">
        <v>56</v>
      </c>
      <c r="D101" s="12">
        <v>30</v>
      </c>
      <c r="E101" s="11" t="s">
        <v>57</v>
      </c>
      <c r="F101" s="11" t="s">
        <v>58</v>
      </c>
      <c r="G101" s="11">
        <v>22</v>
      </c>
      <c r="H101" s="11" t="s">
        <v>97</v>
      </c>
      <c r="I101" s="14" t="s">
        <v>98</v>
      </c>
      <c r="J101" s="11" t="s">
        <v>61</v>
      </c>
      <c r="K101" s="11" t="s">
        <v>62</v>
      </c>
      <c r="L101" s="11" t="s">
        <v>63</v>
      </c>
      <c r="M101" s="11" t="s">
        <v>64</v>
      </c>
      <c r="N101" s="15">
        <v>42066</v>
      </c>
      <c r="O101" s="11">
        <v>1000</v>
      </c>
      <c r="P101" s="11">
        <v>1000</v>
      </c>
      <c r="Q101" s="11">
        <v>31</v>
      </c>
      <c r="R101" s="11" t="s">
        <v>65</v>
      </c>
      <c r="S101" s="11">
        <v>101</v>
      </c>
      <c r="T101" s="11" t="s">
        <v>197</v>
      </c>
      <c r="U101" s="11" t="s">
        <v>158</v>
      </c>
      <c r="V101" s="11" t="s">
        <v>68</v>
      </c>
      <c r="W101" t="str">
        <f t="shared" si="57"/>
        <v>30%</v>
      </c>
      <c r="X101" t="str">
        <f t="shared" si="58"/>
        <v>20%</v>
      </c>
      <c r="Y101" t="str">
        <f t="shared" si="59"/>
        <v>20%</v>
      </c>
      <c r="Z101" t="str">
        <f t="shared" si="60"/>
        <v>Great Sales</v>
      </c>
      <c r="AA101" t="b">
        <f t="shared" si="61"/>
        <v>1</v>
      </c>
      <c r="AB101">
        <f t="shared" si="62"/>
        <v>1</v>
      </c>
      <c r="AC101" t="str">
        <f t="shared" si="56"/>
        <v>ATT</v>
      </c>
      <c r="AD101">
        <f t="shared" si="72"/>
        <v>1</v>
      </c>
      <c r="AE101" t="str">
        <f t="shared" si="55"/>
        <v>Credit</v>
      </c>
      <c r="AF101" t="str">
        <f t="shared" si="63"/>
        <v>GREAT SALES</v>
      </c>
      <c r="AG101" t="str">
        <f t="shared" si="64"/>
        <v>True</v>
      </c>
      <c r="AH101" t="str">
        <f t="shared" si="65"/>
        <v>Mark</v>
      </c>
      <c r="AI101" t="str">
        <f t="shared" si="66"/>
        <v>6</v>
      </c>
      <c r="AJ101" t="s">
        <v>98</v>
      </c>
      <c r="AK101">
        <f t="shared" si="67"/>
        <v>1300</v>
      </c>
      <c r="AL101" t="str">
        <f t="shared" si="68"/>
        <v>Tuesday</v>
      </c>
      <c r="AM101" s="9">
        <f t="shared" si="69"/>
        <v>42130</v>
      </c>
      <c r="AN101" t="str">
        <f t="shared" si="70"/>
        <v>2months,3days</v>
      </c>
      <c r="AP101" s="20" t="str">
        <f t="shared" si="71"/>
        <v>||||||||||||||||||||||||||||||||||||||||||||||||||||||||||||||||||||||||||||||||||||||||||||||||||||</v>
      </c>
      <c r="AQ101" s="17" t="s">
        <v>98</v>
      </c>
      <c r="AR101" s="22"/>
      <c r="BE101" t="str">
        <f ca="1" t="shared" si="53"/>
        <v>Finance</v>
      </c>
      <c r="BG101" s="5" t="s">
        <v>55</v>
      </c>
      <c r="BH101" s="5"/>
    </row>
    <row r="102" ht="15" spans="1:60">
      <c r="A102" s="11" t="s">
        <v>109</v>
      </c>
      <c r="B102" s="11" t="s">
        <v>110</v>
      </c>
      <c r="C102" s="13" t="s">
        <v>111</v>
      </c>
      <c r="D102" s="12">
        <v>10</v>
      </c>
      <c r="E102" s="11" t="s">
        <v>112</v>
      </c>
      <c r="F102" s="11" t="s">
        <v>86</v>
      </c>
      <c r="G102" s="11">
        <v>2</v>
      </c>
      <c r="H102" s="11" t="s">
        <v>134</v>
      </c>
      <c r="I102" s="14" t="s">
        <v>135</v>
      </c>
      <c r="J102" s="11" t="s">
        <v>115</v>
      </c>
      <c r="K102" s="11" t="s">
        <v>116</v>
      </c>
      <c r="L102" s="11" t="s">
        <v>117</v>
      </c>
      <c r="M102" s="11" t="s">
        <v>118</v>
      </c>
      <c r="N102" s="15">
        <v>40910</v>
      </c>
      <c r="O102" s="11">
        <v>180</v>
      </c>
      <c r="P102" s="11">
        <v>200</v>
      </c>
      <c r="Q102" s="11">
        <v>11</v>
      </c>
      <c r="R102" s="11" t="s">
        <v>65</v>
      </c>
      <c r="S102" s="11">
        <v>101</v>
      </c>
      <c r="T102" s="11" t="s">
        <v>197</v>
      </c>
      <c r="U102" s="11" t="s">
        <v>158</v>
      </c>
      <c r="V102" s="11" t="s">
        <v>68</v>
      </c>
      <c r="W102">
        <f t="shared" si="57"/>
        <v>0</v>
      </c>
      <c r="X102">
        <f t="shared" si="58"/>
        <v>0</v>
      </c>
      <c r="Y102">
        <f t="shared" si="59"/>
        <v>0</v>
      </c>
      <c r="Z102" t="str">
        <f t="shared" si="60"/>
        <v>Poor Sales</v>
      </c>
      <c r="AA102" t="b">
        <f t="shared" si="61"/>
        <v>0</v>
      </c>
      <c r="AB102">
        <f t="shared" si="62"/>
        <v>1</v>
      </c>
      <c r="AC102" t="str">
        <f t="shared" si="56"/>
        <v>Laptop</v>
      </c>
      <c r="AD102">
        <f t="shared" si="72"/>
        <v>1</v>
      </c>
      <c r="AE102" t="str">
        <f t="shared" si="55"/>
        <v>Debit</v>
      </c>
      <c r="AF102" t="str">
        <f t="shared" si="63"/>
        <v>POOR SALES</v>
      </c>
      <c r="AG102" t="str">
        <f t="shared" si="64"/>
        <v>False</v>
      </c>
      <c r="AH102" t="str">
        <f t="shared" si="65"/>
        <v>Rahul</v>
      </c>
      <c r="AI102" t="str">
        <f t="shared" si="66"/>
        <v>0</v>
      </c>
      <c r="AJ102" t="s">
        <v>136</v>
      </c>
      <c r="AK102">
        <f t="shared" si="67"/>
        <v>180</v>
      </c>
      <c r="AL102" t="str">
        <f t="shared" si="68"/>
        <v>Monday</v>
      </c>
      <c r="AM102" s="9">
        <f t="shared" si="69"/>
        <v>40974</v>
      </c>
      <c r="AN102" t="str">
        <f t="shared" si="70"/>
        <v>2months,4days</v>
      </c>
      <c r="AO102" s="38">
        <v>42125</v>
      </c>
      <c r="AP102" s="20" t="str">
        <f t="shared" si="71"/>
        <v>||||||||||||||||||</v>
      </c>
      <c r="AQ102" s="17" t="s">
        <v>135</v>
      </c>
      <c r="AR102" s="22"/>
      <c r="BE102" t="str">
        <f ca="1" t="shared" si="53"/>
        <v>Sales</v>
      </c>
      <c r="BG102" s="5" t="s">
        <v>55</v>
      </c>
      <c r="BH102" s="5"/>
    </row>
    <row r="103" ht="15" spans="1:60">
      <c r="A103" s="11" t="s">
        <v>109</v>
      </c>
      <c r="B103" s="11" t="s">
        <v>110</v>
      </c>
      <c r="C103" s="13" t="s">
        <v>111</v>
      </c>
      <c r="D103" s="12">
        <v>10</v>
      </c>
      <c r="E103" s="11" t="s">
        <v>112</v>
      </c>
      <c r="F103" s="11" t="s">
        <v>86</v>
      </c>
      <c r="G103" s="11">
        <v>2</v>
      </c>
      <c r="H103" s="11" t="s">
        <v>134</v>
      </c>
      <c r="I103" s="14" t="s">
        <v>135</v>
      </c>
      <c r="J103" s="11" t="s">
        <v>115</v>
      </c>
      <c r="K103" s="11" t="s">
        <v>116</v>
      </c>
      <c r="L103" s="11" t="s">
        <v>117</v>
      </c>
      <c r="M103" s="11" t="s">
        <v>118</v>
      </c>
      <c r="N103" s="15">
        <v>41641</v>
      </c>
      <c r="O103" s="11">
        <v>180</v>
      </c>
      <c r="P103" s="11">
        <v>200</v>
      </c>
      <c r="Q103" s="11">
        <v>11</v>
      </c>
      <c r="R103" s="11" t="s">
        <v>65</v>
      </c>
      <c r="S103" s="11">
        <v>101</v>
      </c>
      <c r="T103" s="11" t="s">
        <v>197</v>
      </c>
      <c r="U103" s="11" t="s">
        <v>158</v>
      </c>
      <c r="V103" s="11" t="s">
        <v>68</v>
      </c>
      <c r="W103">
        <f t="shared" si="57"/>
        <v>0</v>
      </c>
      <c r="X103">
        <f t="shared" si="58"/>
        <v>0</v>
      </c>
      <c r="Y103">
        <f t="shared" si="59"/>
        <v>0</v>
      </c>
      <c r="Z103" t="str">
        <f t="shared" si="60"/>
        <v>Poor Sales</v>
      </c>
      <c r="AA103" t="b">
        <f t="shared" si="61"/>
        <v>0</v>
      </c>
      <c r="AB103">
        <f t="shared" si="62"/>
        <v>1</v>
      </c>
      <c r="AC103" t="str">
        <f t="shared" si="56"/>
        <v>Laptop</v>
      </c>
      <c r="AD103">
        <f t="shared" si="72"/>
        <v>1</v>
      </c>
      <c r="AE103" t="str">
        <f t="shared" ref="AE103:AE117" si="73">LOOKUP(G103,G103:G217,B103:B217)</f>
        <v>Debit</v>
      </c>
      <c r="AF103" t="str">
        <f t="shared" si="63"/>
        <v>POOR SALES</v>
      </c>
      <c r="AG103" t="str">
        <f t="shared" si="64"/>
        <v>False</v>
      </c>
      <c r="AH103" t="str">
        <f t="shared" si="65"/>
        <v>Rahul</v>
      </c>
      <c r="AI103" t="str">
        <f t="shared" si="66"/>
        <v>1</v>
      </c>
      <c r="AJ103" t="s">
        <v>136</v>
      </c>
      <c r="AK103">
        <f t="shared" si="67"/>
        <v>180</v>
      </c>
      <c r="AL103" t="str">
        <f t="shared" si="68"/>
        <v>Thursday</v>
      </c>
      <c r="AM103" s="9">
        <f t="shared" si="69"/>
        <v>41704</v>
      </c>
      <c r="AN103" t="str">
        <f t="shared" si="70"/>
        <v>2months,4days</v>
      </c>
      <c r="AP103" s="20" t="str">
        <f t="shared" si="71"/>
        <v>||||||||||||||||||</v>
      </c>
      <c r="AQ103" s="17" t="s">
        <v>135</v>
      </c>
      <c r="AR103" s="22"/>
      <c r="BE103" t="str">
        <f ca="1" t="shared" si="53"/>
        <v>Sales</v>
      </c>
      <c r="BG103" s="5" t="s">
        <v>110</v>
      </c>
      <c r="BH103" s="5"/>
    </row>
    <row r="104" ht="15" spans="1:60">
      <c r="A104" s="11" t="s">
        <v>109</v>
      </c>
      <c r="B104" s="11" t="s">
        <v>125</v>
      </c>
      <c r="C104" s="13" t="s">
        <v>111</v>
      </c>
      <c r="D104" s="12">
        <v>14</v>
      </c>
      <c r="E104" s="11" t="s">
        <v>146</v>
      </c>
      <c r="F104" s="11" t="s">
        <v>83</v>
      </c>
      <c r="G104" s="11">
        <v>5</v>
      </c>
      <c r="H104" s="11" t="s">
        <v>161</v>
      </c>
      <c r="I104" s="14" t="s">
        <v>162</v>
      </c>
      <c r="J104" s="11" t="s">
        <v>149</v>
      </c>
      <c r="K104" s="11" t="s">
        <v>116</v>
      </c>
      <c r="L104" s="11" t="s">
        <v>150</v>
      </c>
      <c r="M104" s="11" t="s">
        <v>118</v>
      </c>
      <c r="N104" s="15">
        <v>41337</v>
      </c>
      <c r="O104" s="11">
        <v>988</v>
      </c>
      <c r="P104" s="11">
        <v>500</v>
      </c>
      <c r="Q104" s="11">
        <v>14</v>
      </c>
      <c r="R104" s="11" t="s">
        <v>65</v>
      </c>
      <c r="S104" s="11">
        <v>101</v>
      </c>
      <c r="T104" s="11" t="s">
        <v>197</v>
      </c>
      <c r="U104" s="11" t="s">
        <v>158</v>
      </c>
      <c r="V104" s="11" t="s">
        <v>68</v>
      </c>
      <c r="W104" t="str">
        <f t="shared" si="57"/>
        <v>30%</v>
      </c>
      <c r="X104" t="str">
        <f t="shared" si="58"/>
        <v>20%</v>
      </c>
      <c r="Y104" t="str">
        <f t="shared" si="59"/>
        <v>20%</v>
      </c>
      <c r="Z104" t="str">
        <f t="shared" si="60"/>
        <v>Great Sales</v>
      </c>
      <c r="AA104" t="b">
        <f t="shared" si="61"/>
        <v>1</v>
      </c>
      <c r="AB104">
        <f t="shared" si="62"/>
        <v>1</v>
      </c>
      <c r="AC104" t="str">
        <f t="shared" si="56"/>
        <v>Laptop</v>
      </c>
      <c r="AD104">
        <f t="shared" si="72"/>
        <v>1</v>
      </c>
      <c r="AE104" t="str">
        <f t="shared" si="73"/>
        <v>Credit</v>
      </c>
      <c r="AF104" t="str">
        <f t="shared" si="63"/>
        <v>GREAT SALES</v>
      </c>
      <c r="AG104" t="str">
        <f t="shared" si="64"/>
        <v>True</v>
      </c>
      <c r="AH104" t="str">
        <f t="shared" si="65"/>
        <v>Rahul</v>
      </c>
      <c r="AI104" t="str">
        <f t="shared" si="66"/>
        <v>7</v>
      </c>
      <c r="AJ104" t="s">
        <v>136</v>
      </c>
      <c r="AK104">
        <f t="shared" si="67"/>
        <v>1284.4</v>
      </c>
      <c r="AL104" t="str">
        <f t="shared" si="68"/>
        <v>Monday</v>
      </c>
      <c r="AM104" s="9">
        <f t="shared" si="69"/>
        <v>41400</v>
      </c>
      <c r="AN104" t="str">
        <f t="shared" si="70"/>
        <v>2months,2days</v>
      </c>
      <c r="AP104" s="20" t="str">
        <f t="shared" si="71"/>
        <v>||||||||||||||||||||||||||||||||||||||||||||||||||||||||||||||||||||||||||||||||||||||||||||||||||</v>
      </c>
      <c r="AQ104" s="17" t="s">
        <v>162</v>
      </c>
      <c r="AR104" s="22"/>
      <c r="BE104" t="str">
        <f ca="1" t="shared" si="53"/>
        <v>Sales</v>
      </c>
      <c r="BG104" s="5" t="s">
        <v>110</v>
      </c>
      <c r="BH104" s="5"/>
    </row>
    <row r="105" ht="15" spans="1:60">
      <c r="A105" s="11" t="s">
        <v>109</v>
      </c>
      <c r="B105" s="11" t="s">
        <v>125</v>
      </c>
      <c r="C105" s="13" t="s">
        <v>111</v>
      </c>
      <c r="D105" s="12">
        <v>14</v>
      </c>
      <c r="E105" s="11" t="s">
        <v>146</v>
      </c>
      <c r="F105" s="11" t="s">
        <v>83</v>
      </c>
      <c r="G105" s="11">
        <v>5</v>
      </c>
      <c r="H105" s="11" t="s">
        <v>161</v>
      </c>
      <c r="I105" s="14" t="s">
        <v>162</v>
      </c>
      <c r="J105" s="11" t="s">
        <v>149</v>
      </c>
      <c r="K105" s="11" t="s">
        <v>116</v>
      </c>
      <c r="L105" s="11" t="s">
        <v>150</v>
      </c>
      <c r="M105" s="11" t="s">
        <v>118</v>
      </c>
      <c r="N105" s="15">
        <v>42067</v>
      </c>
      <c r="O105" s="11">
        <v>988</v>
      </c>
      <c r="P105" s="11">
        <v>500</v>
      </c>
      <c r="Q105" s="11">
        <v>14</v>
      </c>
      <c r="R105" s="11" t="s">
        <v>65</v>
      </c>
      <c r="S105" s="11">
        <v>101</v>
      </c>
      <c r="T105" s="11" t="s">
        <v>197</v>
      </c>
      <c r="U105" s="11" t="s">
        <v>158</v>
      </c>
      <c r="V105" s="11" t="s">
        <v>68</v>
      </c>
      <c r="W105" t="str">
        <f t="shared" si="57"/>
        <v>30%</v>
      </c>
      <c r="X105" t="str">
        <f t="shared" si="58"/>
        <v>20%</v>
      </c>
      <c r="Y105" t="str">
        <f t="shared" si="59"/>
        <v>20%</v>
      </c>
      <c r="Z105" t="str">
        <f t="shared" si="60"/>
        <v>Great Sales</v>
      </c>
      <c r="AA105" t="b">
        <f t="shared" si="61"/>
        <v>1</v>
      </c>
      <c r="AB105">
        <f t="shared" si="62"/>
        <v>1</v>
      </c>
      <c r="AC105" t="str">
        <f t="shared" si="56"/>
        <v>Laptop</v>
      </c>
      <c r="AD105">
        <f t="shared" si="72"/>
        <v>1</v>
      </c>
      <c r="AE105" t="str">
        <f t="shared" si="73"/>
        <v>Credit</v>
      </c>
      <c r="AF105" t="str">
        <f t="shared" si="63"/>
        <v>GREAT SALES</v>
      </c>
      <c r="AG105" t="str">
        <f t="shared" si="64"/>
        <v>True</v>
      </c>
      <c r="AH105" t="str">
        <f t="shared" si="65"/>
        <v>Rahul</v>
      </c>
      <c r="AI105" t="str">
        <f t="shared" si="66"/>
        <v>7</v>
      </c>
      <c r="AJ105" t="s">
        <v>136</v>
      </c>
      <c r="AK105">
        <f t="shared" si="67"/>
        <v>1284.4</v>
      </c>
      <c r="AL105" t="str">
        <f t="shared" si="68"/>
        <v>Wednesday</v>
      </c>
      <c r="AM105" s="9">
        <f t="shared" si="69"/>
        <v>42130</v>
      </c>
      <c r="AN105" t="str">
        <f t="shared" si="70"/>
        <v>2months,2days</v>
      </c>
      <c r="AP105" s="20" t="str">
        <f t="shared" si="71"/>
        <v>||||||||||||||||||||||||||||||||||||||||||||||||||||||||||||||||||||||||||||||||||||||||||||||||||</v>
      </c>
      <c r="AQ105" s="17" t="s">
        <v>162</v>
      </c>
      <c r="AR105" s="22"/>
      <c r="BE105" t="str">
        <f ca="1" t="shared" si="53"/>
        <v>Sales</v>
      </c>
      <c r="BG105" s="5" t="s">
        <v>125</v>
      </c>
      <c r="BH105" s="5"/>
    </row>
    <row r="106" ht="15" spans="1:60">
      <c r="A106" s="11" t="s">
        <v>73</v>
      </c>
      <c r="B106" s="11" t="s">
        <v>74</v>
      </c>
      <c r="C106" s="13" t="s">
        <v>75</v>
      </c>
      <c r="D106" s="12">
        <v>20</v>
      </c>
      <c r="E106" s="11" t="s">
        <v>76</v>
      </c>
      <c r="F106" s="11" t="s">
        <v>77</v>
      </c>
      <c r="G106" s="11">
        <v>13</v>
      </c>
      <c r="H106" s="11" t="s">
        <v>193</v>
      </c>
      <c r="I106" s="14" t="s">
        <v>194</v>
      </c>
      <c r="J106" s="11" t="s">
        <v>133</v>
      </c>
      <c r="K106" s="11" t="s">
        <v>62</v>
      </c>
      <c r="L106" s="11" t="s">
        <v>81</v>
      </c>
      <c r="M106" s="11" t="s">
        <v>82</v>
      </c>
      <c r="N106" s="15">
        <v>40912</v>
      </c>
      <c r="O106" s="11">
        <v>100</v>
      </c>
      <c r="P106" s="11">
        <v>100</v>
      </c>
      <c r="Q106" s="11">
        <v>22</v>
      </c>
      <c r="R106" s="11" t="s">
        <v>119</v>
      </c>
      <c r="S106" s="11">
        <v>101</v>
      </c>
      <c r="T106" s="11" t="s">
        <v>197</v>
      </c>
      <c r="U106" s="11" t="s">
        <v>158</v>
      </c>
      <c r="V106" s="11" t="s">
        <v>68</v>
      </c>
      <c r="W106">
        <f t="shared" si="57"/>
        <v>0</v>
      </c>
      <c r="X106">
        <f t="shared" si="58"/>
        <v>0</v>
      </c>
      <c r="Y106">
        <f t="shared" si="59"/>
        <v>0</v>
      </c>
      <c r="Z106" t="str">
        <f t="shared" si="60"/>
        <v>Poor Sales</v>
      </c>
      <c r="AA106" t="b">
        <f t="shared" si="61"/>
        <v>0</v>
      </c>
      <c r="AB106">
        <f t="shared" si="62"/>
        <v>1</v>
      </c>
      <c r="AC106" t="str">
        <f t="shared" si="56"/>
        <v>Powder</v>
      </c>
      <c r="AD106">
        <f t="shared" si="72"/>
        <v>1</v>
      </c>
      <c r="AE106" t="str">
        <f t="shared" si="73"/>
        <v>Cash</v>
      </c>
      <c r="AF106" t="str">
        <f t="shared" si="63"/>
        <v>POOR SALES</v>
      </c>
      <c r="AG106" t="str">
        <f t="shared" si="64"/>
        <v>False</v>
      </c>
      <c r="AH106" t="str">
        <f t="shared" si="65"/>
        <v>Steve</v>
      </c>
      <c r="AI106" t="str">
        <f t="shared" si="66"/>
        <v>2</v>
      </c>
      <c r="AJ106" t="s">
        <v>194</v>
      </c>
      <c r="AK106">
        <f t="shared" si="67"/>
        <v>100</v>
      </c>
      <c r="AL106" t="str">
        <f t="shared" si="68"/>
        <v>Wednesday</v>
      </c>
      <c r="AM106" s="9">
        <f t="shared" si="69"/>
        <v>40974</v>
      </c>
      <c r="AN106" t="str">
        <f t="shared" si="70"/>
        <v>2months,2days</v>
      </c>
      <c r="AO106">
        <v>0.09</v>
      </c>
      <c r="AP106" s="20" t="str">
        <f t="shared" si="71"/>
        <v>||||||||||</v>
      </c>
      <c r="AQ106" s="17" t="s">
        <v>194</v>
      </c>
      <c r="AR106" s="22"/>
      <c r="BE106" t="str">
        <f ca="1" t="shared" si="53"/>
        <v>Accounting</v>
      </c>
      <c r="BG106" s="5" t="s">
        <v>125</v>
      </c>
      <c r="BH106" s="5"/>
    </row>
    <row r="107" ht="15" spans="1:60">
      <c r="A107" s="11" t="s">
        <v>73</v>
      </c>
      <c r="B107" s="11" t="s">
        <v>74</v>
      </c>
      <c r="C107" s="13" t="s">
        <v>75</v>
      </c>
      <c r="D107" s="12">
        <v>20</v>
      </c>
      <c r="E107" s="11" t="s">
        <v>76</v>
      </c>
      <c r="F107" s="11" t="s">
        <v>77</v>
      </c>
      <c r="G107" s="11">
        <v>13</v>
      </c>
      <c r="H107" s="11" t="s">
        <v>193</v>
      </c>
      <c r="I107" s="14" t="s">
        <v>194</v>
      </c>
      <c r="J107" s="11" t="s">
        <v>133</v>
      </c>
      <c r="K107" s="11" t="s">
        <v>62</v>
      </c>
      <c r="L107" s="11" t="s">
        <v>81</v>
      </c>
      <c r="M107" s="11" t="s">
        <v>82</v>
      </c>
      <c r="N107" s="15">
        <v>41643</v>
      </c>
      <c r="O107" s="11">
        <v>100</v>
      </c>
      <c r="P107" s="11">
        <v>100</v>
      </c>
      <c r="Q107" s="11">
        <v>22</v>
      </c>
      <c r="R107" s="11" t="s">
        <v>119</v>
      </c>
      <c r="S107" s="11">
        <v>101</v>
      </c>
      <c r="T107" s="11" t="s">
        <v>197</v>
      </c>
      <c r="U107" s="11" t="s">
        <v>158</v>
      </c>
      <c r="V107" s="11" t="s">
        <v>68</v>
      </c>
      <c r="W107">
        <f t="shared" si="57"/>
        <v>0</v>
      </c>
      <c r="X107">
        <f t="shared" si="58"/>
        <v>0</v>
      </c>
      <c r="Y107">
        <f t="shared" si="59"/>
        <v>0</v>
      </c>
      <c r="Z107" t="str">
        <f t="shared" si="60"/>
        <v>Poor Sales</v>
      </c>
      <c r="AA107" t="b">
        <f t="shared" si="61"/>
        <v>0</v>
      </c>
      <c r="AB107">
        <f t="shared" si="62"/>
        <v>1</v>
      </c>
      <c r="AC107" t="str">
        <f t="shared" si="56"/>
        <v>Powder</v>
      </c>
      <c r="AD107">
        <f t="shared" si="72"/>
        <v>1</v>
      </c>
      <c r="AE107" t="str">
        <f t="shared" si="73"/>
        <v>Cash</v>
      </c>
      <c r="AF107" t="str">
        <f t="shared" si="63"/>
        <v>POOR SALES</v>
      </c>
      <c r="AG107" t="str">
        <f t="shared" si="64"/>
        <v>False</v>
      </c>
      <c r="AH107" t="str">
        <f t="shared" si="65"/>
        <v>Steve</v>
      </c>
      <c r="AI107" t="str">
        <f t="shared" si="66"/>
        <v>3</v>
      </c>
      <c r="AJ107" t="s">
        <v>194</v>
      </c>
      <c r="AK107">
        <f t="shared" si="67"/>
        <v>100</v>
      </c>
      <c r="AL107" t="str">
        <f t="shared" si="68"/>
        <v>Saturday</v>
      </c>
      <c r="AM107" s="9">
        <f t="shared" si="69"/>
        <v>41704</v>
      </c>
      <c r="AN107" t="str">
        <f t="shared" si="70"/>
        <v>2months,2days</v>
      </c>
      <c r="AP107" s="20" t="str">
        <f t="shared" si="71"/>
        <v>||||||||||</v>
      </c>
      <c r="AQ107" s="17" t="s">
        <v>194</v>
      </c>
      <c r="AR107" s="22"/>
      <c r="BE107" t="str">
        <f ca="1" t="shared" si="53"/>
        <v>Accounting</v>
      </c>
      <c r="BG107" s="5" t="s">
        <v>74</v>
      </c>
      <c r="BH107" s="5"/>
    </row>
    <row r="108" ht="15" spans="1:60">
      <c r="A108" s="11" t="s">
        <v>73</v>
      </c>
      <c r="B108" s="11" t="s">
        <v>124</v>
      </c>
      <c r="C108" s="13" t="s">
        <v>75</v>
      </c>
      <c r="D108" s="12">
        <v>24</v>
      </c>
      <c r="E108" s="11" t="s">
        <v>128</v>
      </c>
      <c r="F108" s="11" t="s">
        <v>85</v>
      </c>
      <c r="G108" s="11">
        <v>15</v>
      </c>
      <c r="H108" s="11" t="s">
        <v>163</v>
      </c>
      <c r="I108" s="14" t="s">
        <v>164</v>
      </c>
      <c r="J108" s="11" t="s">
        <v>106</v>
      </c>
      <c r="K108" s="11" t="s">
        <v>62</v>
      </c>
      <c r="L108" s="11" t="s">
        <v>81</v>
      </c>
      <c r="M108" s="11" t="s">
        <v>82</v>
      </c>
      <c r="N108" s="15">
        <v>41338</v>
      </c>
      <c r="O108" s="11">
        <v>680</v>
      </c>
      <c r="P108" s="11">
        <v>300</v>
      </c>
      <c r="Q108" s="11">
        <v>24</v>
      </c>
      <c r="R108" s="11" t="s">
        <v>65</v>
      </c>
      <c r="S108" s="11">
        <v>102</v>
      </c>
      <c r="T108" s="11" t="s">
        <v>200</v>
      </c>
      <c r="U108" s="11" t="s">
        <v>188</v>
      </c>
      <c r="V108" s="11" t="s">
        <v>99</v>
      </c>
      <c r="W108" t="str">
        <f t="shared" si="57"/>
        <v>30%</v>
      </c>
      <c r="X108" t="str">
        <f t="shared" si="58"/>
        <v>20%</v>
      </c>
      <c r="Y108">
        <f t="shared" si="59"/>
        <v>0</v>
      </c>
      <c r="Z108" t="str">
        <f t="shared" si="60"/>
        <v>Moderate Sales</v>
      </c>
      <c r="AA108" t="b">
        <f t="shared" si="61"/>
        <v>1</v>
      </c>
      <c r="AB108">
        <f t="shared" si="62"/>
        <v>3</v>
      </c>
      <c r="AC108" t="str">
        <f t="shared" si="56"/>
        <v>Powder</v>
      </c>
      <c r="AD108">
        <f t="shared" si="72"/>
        <v>3</v>
      </c>
      <c r="AE108" t="str">
        <f t="shared" si="73"/>
        <v>Credit</v>
      </c>
      <c r="AF108" t="str">
        <f t="shared" si="63"/>
        <v>MODERATE SALES</v>
      </c>
      <c r="AG108" t="str">
        <f t="shared" si="64"/>
        <v>True</v>
      </c>
      <c r="AH108" t="str">
        <f t="shared" si="65"/>
        <v>Bret </v>
      </c>
      <c r="AI108" t="str">
        <f t="shared" si="66"/>
        <v>8</v>
      </c>
      <c r="AJ108" t="s">
        <v>167</v>
      </c>
      <c r="AK108">
        <f t="shared" si="67"/>
        <v>884</v>
      </c>
      <c r="AL108" t="str">
        <f t="shared" si="68"/>
        <v>Tuesday</v>
      </c>
      <c r="AM108" s="9">
        <f t="shared" si="69"/>
        <v>41400</v>
      </c>
      <c r="AN108" t="str">
        <f t="shared" si="70"/>
        <v>2months,1days</v>
      </c>
      <c r="AP108" s="20" t="str">
        <f t="shared" si="71"/>
        <v>||||||||||||||||||||||||||||||||||||||||||||||||||||||||||||||||||||</v>
      </c>
      <c r="AQ108" s="17" t="s">
        <v>164</v>
      </c>
      <c r="AR108" s="22"/>
      <c r="BE108" t="str">
        <f ca="1" t="shared" si="53"/>
        <v>Accounting</v>
      </c>
      <c r="BG108" s="5" t="s">
        <v>74</v>
      </c>
      <c r="BH108" s="5"/>
    </row>
    <row r="109" ht="15" spans="1:60">
      <c r="A109" s="11" t="s">
        <v>73</v>
      </c>
      <c r="B109" s="11" t="s">
        <v>124</v>
      </c>
      <c r="C109" s="13" t="s">
        <v>75</v>
      </c>
      <c r="D109" s="12">
        <v>24</v>
      </c>
      <c r="E109" s="11" t="s">
        <v>128</v>
      </c>
      <c r="F109" s="11" t="s">
        <v>85</v>
      </c>
      <c r="G109" s="11">
        <v>15</v>
      </c>
      <c r="H109" s="11" t="s">
        <v>163</v>
      </c>
      <c r="I109" s="14" t="s">
        <v>164</v>
      </c>
      <c r="J109" s="11" t="s">
        <v>106</v>
      </c>
      <c r="K109" s="11" t="s">
        <v>62</v>
      </c>
      <c r="L109" s="11" t="s">
        <v>81</v>
      </c>
      <c r="M109" s="11" t="s">
        <v>82</v>
      </c>
      <c r="N109" s="15">
        <v>42068</v>
      </c>
      <c r="O109" s="11">
        <v>680</v>
      </c>
      <c r="P109" s="11">
        <v>300</v>
      </c>
      <c r="Q109" s="11">
        <v>24</v>
      </c>
      <c r="R109" s="11" t="s">
        <v>65</v>
      </c>
      <c r="S109" s="11">
        <v>102</v>
      </c>
      <c r="T109" s="11" t="s">
        <v>200</v>
      </c>
      <c r="U109" s="11" t="s">
        <v>188</v>
      </c>
      <c r="V109" s="11" t="s">
        <v>99</v>
      </c>
      <c r="W109" t="str">
        <f t="shared" si="57"/>
        <v>30%</v>
      </c>
      <c r="X109" t="str">
        <f t="shared" si="58"/>
        <v>20%</v>
      </c>
      <c r="Y109">
        <f t="shared" si="59"/>
        <v>0</v>
      </c>
      <c r="Z109" t="str">
        <f t="shared" si="60"/>
        <v>Moderate Sales</v>
      </c>
      <c r="AA109" t="b">
        <f t="shared" si="61"/>
        <v>1</v>
      </c>
      <c r="AB109">
        <f t="shared" si="62"/>
        <v>2</v>
      </c>
      <c r="AC109" t="str">
        <f t="shared" si="56"/>
        <v>Powder</v>
      </c>
      <c r="AD109">
        <f t="shared" si="72"/>
        <v>2</v>
      </c>
      <c r="AE109" t="str">
        <f t="shared" si="73"/>
        <v>Credit</v>
      </c>
      <c r="AF109" t="str">
        <f t="shared" si="63"/>
        <v>MODERATE SALES</v>
      </c>
      <c r="AG109" t="str">
        <f t="shared" si="64"/>
        <v>True</v>
      </c>
      <c r="AH109" t="str">
        <f t="shared" si="65"/>
        <v>Bret </v>
      </c>
      <c r="AI109" t="str">
        <f t="shared" si="66"/>
        <v>8</v>
      </c>
      <c r="AJ109" t="s">
        <v>167</v>
      </c>
      <c r="AK109">
        <f t="shared" si="67"/>
        <v>884</v>
      </c>
      <c r="AL109" t="str">
        <f t="shared" si="68"/>
        <v>Thursday</v>
      </c>
      <c r="AM109" s="9">
        <f t="shared" si="69"/>
        <v>42130</v>
      </c>
      <c r="AN109" t="str">
        <f t="shared" si="70"/>
        <v>2months,1days</v>
      </c>
      <c r="AP109" s="20" t="str">
        <f t="shared" si="71"/>
        <v>||||||||||||||||||||||||||||||||||||||||||||||||||||||||||||||||||||</v>
      </c>
      <c r="AQ109" s="17" t="s">
        <v>164</v>
      </c>
      <c r="AR109" s="22"/>
      <c r="BE109" t="str">
        <f ca="1" t="shared" si="53"/>
        <v>Accounting</v>
      </c>
      <c r="BG109" s="5" t="s">
        <v>124</v>
      </c>
      <c r="BH109" s="5"/>
    </row>
    <row r="110" ht="15" spans="1:60">
      <c r="A110" s="11" t="s">
        <v>73</v>
      </c>
      <c r="B110" s="11" t="s">
        <v>74</v>
      </c>
      <c r="C110" s="13" t="s">
        <v>75</v>
      </c>
      <c r="D110" s="12">
        <v>20</v>
      </c>
      <c r="E110" s="11" t="s">
        <v>76</v>
      </c>
      <c r="F110" s="11" t="s">
        <v>77</v>
      </c>
      <c r="G110" s="11">
        <v>14</v>
      </c>
      <c r="H110" s="11" t="s">
        <v>195</v>
      </c>
      <c r="I110" s="14" t="s">
        <v>196</v>
      </c>
      <c r="J110" s="11" t="s">
        <v>80</v>
      </c>
      <c r="K110" s="11" t="s">
        <v>62</v>
      </c>
      <c r="L110" s="11" t="s">
        <v>107</v>
      </c>
      <c r="M110" s="11" t="s">
        <v>82</v>
      </c>
      <c r="N110" s="15">
        <v>40913</v>
      </c>
      <c r="O110" s="11">
        <v>200</v>
      </c>
      <c r="P110" s="11">
        <v>200</v>
      </c>
      <c r="Q110" s="11">
        <v>23</v>
      </c>
      <c r="R110" s="11" t="s">
        <v>65</v>
      </c>
      <c r="S110" s="11">
        <v>102</v>
      </c>
      <c r="T110" s="11" t="s">
        <v>200</v>
      </c>
      <c r="U110" s="11" t="s">
        <v>188</v>
      </c>
      <c r="V110" s="11" t="s">
        <v>99</v>
      </c>
      <c r="W110">
        <f t="shared" si="57"/>
        <v>0</v>
      </c>
      <c r="X110">
        <f t="shared" si="58"/>
        <v>0</v>
      </c>
      <c r="Y110">
        <f t="shared" si="59"/>
        <v>0</v>
      </c>
      <c r="Z110" t="str">
        <f t="shared" si="60"/>
        <v>Poor Sales</v>
      </c>
      <c r="AA110" t="b">
        <f t="shared" si="61"/>
        <v>0</v>
      </c>
      <c r="AB110">
        <f t="shared" si="62"/>
        <v>1</v>
      </c>
      <c r="AC110" t="str">
        <f t="shared" si="56"/>
        <v>Powder</v>
      </c>
      <c r="AD110">
        <f t="shared" si="72"/>
        <v>1</v>
      </c>
      <c r="AE110" t="str">
        <f t="shared" si="73"/>
        <v>Credit</v>
      </c>
      <c r="AF110" t="str">
        <f t="shared" si="63"/>
        <v>POOR SALES</v>
      </c>
      <c r="AG110" t="str">
        <f t="shared" si="64"/>
        <v>False</v>
      </c>
      <c r="AH110" t="str">
        <f t="shared" si="65"/>
        <v>Glenn</v>
      </c>
      <c r="AI110" t="str">
        <f t="shared" si="66"/>
        <v>3</v>
      </c>
      <c r="AJ110" t="s">
        <v>198</v>
      </c>
      <c r="AK110">
        <f t="shared" si="67"/>
        <v>200</v>
      </c>
      <c r="AL110" t="str">
        <f t="shared" si="68"/>
        <v>Thursday</v>
      </c>
      <c r="AM110" s="9">
        <f t="shared" si="69"/>
        <v>40974</v>
      </c>
      <c r="AN110" t="str">
        <f t="shared" si="70"/>
        <v>2months,1days</v>
      </c>
      <c r="AO110">
        <v>0.1</v>
      </c>
      <c r="AP110" s="20" t="str">
        <f t="shared" si="71"/>
        <v>||||||||||||||||||||</v>
      </c>
      <c r="AQ110" s="17" t="s">
        <v>196</v>
      </c>
      <c r="AR110" s="22"/>
      <c r="BE110" t="str">
        <f ca="1" t="shared" si="53"/>
        <v>Accounting</v>
      </c>
      <c r="BG110" s="5" t="s">
        <v>124</v>
      </c>
      <c r="BH110" s="5"/>
    </row>
    <row r="111" ht="15" spans="1:60">
      <c r="A111" s="11" t="s">
        <v>73</v>
      </c>
      <c r="B111" s="11" t="s">
        <v>74</v>
      </c>
      <c r="C111" s="13" t="s">
        <v>75</v>
      </c>
      <c r="D111" s="12">
        <v>20</v>
      </c>
      <c r="E111" s="11" t="s">
        <v>76</v>
      </c>
      <c r="F111" s="11" t="s">
        <v>77</v>
      </c>
      <c r="G111" s="11">
        <v>14</v>
      </c>
      <c r="H111" s="11" t="s">
        <v>195</v>
      </c>
      <c r="I111" s="14" t="s">
        <v>196</v>
      </c>
      <c r="J111" s="11" t="s">
        <v>80</v>
      </c>
      <c r="K111" s="11" t="s">
        <v>62</v>
      </c>
      <c r="L111" s="11" t="s">
        <v>107</v>
      </c>
      <c r="M111" s="11" t="s">
        <v>82</v>
      </c>
      <c r="N111" s="15">
        <v>41644</v>
      </c>
      <c r="O111" s="11">
        <v>200</v>
      </c>
      <c r="P111" s="11">
        <v>200</v>
      </c>
      <c r="Q111" s="11">
        <v>23</v>
      </c>
      <c r="R111" s="11" t="s">
        <v>65</v>
      </c>
      <c r="S111" s="11">
        <v>102</v>
      </c>
      <c r="T111" s="11" t="s">
        <v>200</v>
      </c>
      <c r="U111" s="11" t="s">
        <v>188</v>
      </c>
      <c r="V111" s="11" t="s">
        <v>99</v>
      </c>
      <c r="W111">
        <f t="shared" si="57"/>
        <v>0</v>
      </c>
      <c r="X111">
        <f t="shared" si="58"/>
        <v>0</v>
      </c>
      <c r="Y111">
        <f t="shared" si="59"/>
        <v>0</v>
      </c>
      <c r="Z111" t="str">
        <f t="shared" si="60"/>
        <v>Poor Sales</v>
      </c>
      <c r="AA111" t="b">
        <f t="shared" si="61"/>
        <v>0</v>
      </c>
      <c r="AB111">
        <f t="shared" si="62"/>
        <v>1</v>
      </c>
      <c r="AC111" t="str">
        <f t="shared" si="56"/>
        <v>Powder</v>
      </c>
      <c r="AD111">
        <f t="shared" si="72"/>
        <v>1</v>
      </c>
      <c r="AE111" t="str">
        <f t="shared" si="73"/>
        <v>Credit</v>
      </c>
      <c r="AF111" t="str">
        <f t="shared" si="63"/>
        <v>POOR SALES</v>
      </c>
      <c r="AG111" t="str">
        <f t="shared" si="64"/>
        <v>False</v>
      </c>
      <c r="AH111" t="str">
        <f t="shared" si="65"/>
        <v>Glenn</v>
      </c>
      <c r="AI111" t="str">
        <f t="shared" si="66"/>
        <v>4</v>
      </c>
      <c r="AJ111" t="s">
        <v>198</v>
      </c>
      <c r="AK111">
        <f t="shared" si="67"/>
        <v>200</v>
      </c>
      <c r="AL111" t="str">
        <f t="shared" si="68"/>
        <v>Sunday</v>
      </c>
      <c r="AM111" s="9">
        <f t="shared" si="69"/>
        <v>41704</v>
      </c>
      <c r="AN111" t="str">
        <f t="shared" si="70"/>
        <v>2months,1days</v>
      </c>
      <c r="AP111" s="20" t="str">
        <f t="shared" si="71"/>
        <v>||||||||||||||||||||</v>
      </c>
      <c r="AQ111" s="17" t="s">
        <v>196</v>
      </c>
      <c r="AR111" s="22"/>
      <c r="BE111" t="str">
        <f ca="1" t="shared" si="53"/>
        <v>Accounting</v>
      </c>
      <c r="BG111" s="5" t="s">
        <v>74</v>
      </c>
      <c r="BH111" s="5"/>
    </row>
    <row r="112" ht="15" spans="1:60">
      <c r="A112" s="11" t="s">
        <v>54</v>
      </c>
      <c r="B112" s="11" t="s">
        <v>88</v>
      </c>
      <c r="C112" s="13" t="s">
        <v>56</v>
      </c>
      <c r="D112" s="12">
        <v>38</v>
      </c>
      <c r="E112" s="11" t="s">
        <v>89</v>
      </c>
      <c r="F112" s="11" t="s">
        <v>72</v>
      </c>
      <c r="G112" s="11">
        <v>25</v>
      </c>
      <c r="H112" s="11" t="s">
        <v>183</v>
      </c>
      <c r="I112" s="14" t="s">
        <v>96</v>
      </c>
      <c r="J112" s="11" t="s">
        <v>130</v>
      </c>
      <c r="K112" s="11" t="s">
        <v>99</v>
      </c>
      <c r="L112" s="11" t="s">
        <v>63</v>
      </c>
      <c r="M112" s="11" t="s">
        <v>64</v>
      </c>
      <c r="N112" s="15">
        <v>40912</v>
      </c>
      <c r="O112" s="11">
        <v>100</v>
      </c>
      <c r="P112" s="11">
        <v>1300</v>
      </c>
      <c r="Q112" s="11">
        <v>34</v>
      </c>
      <c r="R112" s="11" t="s">
        <v>65</v>
      </c>
      <c r="S112" s="11">
        <v>102</v>
      </c>
      <c r="T112" s="11" t="s">
        <v>200</v>
      </c>
      <c r="U112" s="11" t="s">
        <v>188</v>
      </c>
      <c r="V112" s="11" t="s">
        <v>99</v>
      </c>
      <c r="W112">
        <f t="shared" si="57"/>
        <v>0</v>
      </c>
      <c r="X112" t="str">
        <f t="shared" si="58"/>
        <v>20%</v>
      </c>
      <c r="Y112">
        <f t="shared" si="59"/>
        <v>0</v>
      </c>
      <c r="Z112" t="str">
        <f t="shared" si="60"/>
        <v>Poor Sales</v>
      </c>
      <c r="AA112" t="b">
        <f t="shared" si="61"/>
        <v>0</v>
      </c>
      <c r="AB112" t="str">
        <f t="shared" si="62"/>
        <v>Error</v>
      </c>
      <c r="AC112" t="str">
        <f t="shared" si="56"/>
        <v>ATT</v>
      </c>
      <c r="AD112" t="e">
        <f t="shared" si="72"/>
        <v>#N/A</v>
      </c>
      <c r="AE112" t="str">
        <f t="shared" si="73"/>
        <v>Credit</v>
      </c>
      <c r="AF112" t="str">
        <f t="shared" si="63"/>
        <v>POOR SALES</v>
      </c>
      <c r="AG112" t="str">
        <f t="shared" si="64"/>
        <v>False</v>
      </c>
      <c r="AH112" t="str">
        <f t="shared" si="65"/>
        <v>Jeffe</v>
      </c>
      <c r="AI112" t="str">
        <f t="shared" si="66"/>
        <v>2</v>
      </c>
      <c r="AJ112" t="s">
        <v>96</v>
      </c>
      <c r="AK112">
        <f t="shared" si="67"/>
        <v>100</v>
      </c>
      <c r="AL112" t="str">
        <f t="shared" si="68"/>
        <v>Wednesday</v>
      </c>
      <c r="AM112" s="9">
        <f t="shared" si="69"/>
        <v>40974</v>
      </c>
      <c r="AN112" t="str">
        <f t="shared" si="70"/>
        <v>2months,2days</v>
      </c>
      <c r="AP112" s="20" t="str">
        <f t="shared" si="71"/>
        <v>||||||||||</v>
      </c>
      <c r="AQ112" s="17" t="s">
        <v>96</v>
      </c>
      <c r="AR112" s="22"/>
      <c r="BE112" t="str">
        <f ca="1" t="shared" si="53"/>
        <v>Finance</v>
      </c>
      <c r="BG112" s="5" t="s">
        <v>74</v>
      </c>
      <c r="BH112" s="5"/>
    </row>
    <row r="113" ht="15" spans="1:60">
      <c r="A113" s="11" t="s">
        <v>54</v>
      </c>
      <c r="B113" s="11" t="s">
        <v>88</v>
      </c>
      <c r="C113" s="13" t="s">
        <v>56</v>
      </c>
      <c r="D113" s="12">
        <v>38</v>
      </c>
      <c r="E113" s="11" t="s">
        <v>89</v>
      </c>
      <c r="F113" s="11" t="s">
        <v>72</v>
      </c>
      <c r="G113" s="11">
        <v>25</v>
      </c>
      <c r="H113" s="11" t="s">
        <v>183</v>
      </c>
      <c r="I113" s="14" t="s">
        <v>96</v>
      </c>
      <c r="J113" s="11" t="s">
        <v>130</v>
      </c>
      <c r="K113" s="11" t="s">
        <v>62</v>
      </c>
      <c r="L113" s="11" t="s">
        <v>63</v>
      </c>
      <c r="M113" s="11" t="s">
        <v>64</v>
      </c>
      <c r="N113" s="15">
        <v>41643</v>
      </c>
      <c r="O113" s="11">
        <v>100</v>
      </c>
      <c r="P113" s="11">
        <v>1300</v>
      </c>
      <c r="Q113" s="11">
        <v>34</v>
      </c>
      <c r="R113" s="11" t="s">
        <v>65</v>
      </c>
      <c r="S113" s="11">
        <v>102</v>
      </c>
      <c r="T113" s="11" t="s">
        <v>200</v>
      </c>
      <c r="U113" s="11" t="s">
        <v>188</v>
      </c>
      <c r="V113" s="11" t="s">
        <v>99</v>
      </c>
      <c r="W113">
        <f t="shared" si="57"/>
        <v>0</v>
      </c>
      <c r="X113" t="str">
        <f t="shared" si="58"/>
        <v>20%</v>
      </c>
      <c r="Y113">
        <f t="shared" si="59"/>
        <v>0</v>
      </c>
      <c r="Z113" t="str">
        <f t="shared" si="60"/>
        <v>Poor Sales</v>
      </c>
      <c r="AA113" t="b">
        <f t="shared" si="61"/>
        <v>0</v>
      </c>
      <c r="AB113" t="str">
        <f t="shared" si="62"/>
        <v>Error</v>
      </c>
      <c r="AC113" t="str">
        <f t="shared" si="56"/>
        <v>ATT</v>
      </c>
      <c r="AD113" t="e">
        <f t="shared" si="72"/>
        <v>#N/A</v>
      </c>
      <c r="AE113" t="str">
        <f t="shared" si="73"/>
        <v>Credit</v>
      </c>
      <c r="AF113" t="str">
        <f t="shared" si="63"/>
        <v>POOR SALES</v>
      </c>
      <c r="AG113" t="str">
        <f t="shared" si="64"/>
        <v>False</v>
      </c>
      <c r="AH113" t="str">
        <f t="shared" si="65"/>
        <v>Jeffe</v>
      </c>
      <c r="AI113" t="str">
        <f t="shared" si="66"/>
        <v>3</v>
      </c>
      <c r="AJ113" t="s">
        <v>96</v>
      </c>
      <c r="AK113">
        <f t="shared" si="67"/>
        <v>100</v>
      </c>
      <c r="AL113" t="str">
        <f t="shared" si="68"/>
        <v>Saturday</v>
      </c>
      <c r="AM113" s="9">
        <f t="shared" si="69"/>
        <v>41704</v>
      </c>
      <c r="AN113" t="str">
        <f t="shared" si="70"/>
        <v>2months,2days</v>
      </c>
      <c r="AP113" s="20" t="str">
        <f t="shared" si="71"/>
        <v>||||||||||</v>
      </c>
      <c r="AQ113" s="17" t="s">
        <v>96</v>
      </c>
      <c r="AR113" s="22"/>
      <c r="BE113" t="str">
        <f ca="1" t="shared" si="53"/>
        <v>Finance</v>
      </c>
      <c r="BG113" s="5" t="s">
        <v>88</v>
      </c>
      <c r="BH113" s="5"/>
    </row>
    <row r="114" ht="15" spans="1:60">
      <c r="A114" s="11" t="s">
        <v>109</v>
      </c>
      <c r="B114" s="11" t="s">
        <v>110</v>
      </c>
      <c r="C114" s="13" t="s">
        <v>111</v>
      </c>
      <c r="D114" s="12">
        <v>10</v>
      </c>
      <c r="E114" s="11" t="s">
        <v>112</v>
      </c>
      <c r="F114" s="11" t="s">
        <v>86</v>
      </c>
      <c r="G114" s="11">
        <v>3</v>
      </c>
      <c r="H114" s="11" t="s">
        <v>113</v>
      </c>
      <c r="I114" s="14" t="s">
        <v>114</v>
      </c>
      <c r="J114" s="11" t="s">
        <v>115</v>
      </c>
      <c r="K114" s="11" t="s">
        <v>116</v>
      </c>
      <c r="L114" s="11" t="s">
        <v>117</v>
      </c>
      <c r="M114" s="11" t="s">
        <v>118</v>
      </c>
      <c r="N114" s="15">
        <v>40911</v>
      </c>
      <c r="O114" s="11">
        <v>305</v>
      </c>
      <c r="P114" s="11">
        <v>300</v>
      </c>
      <c r="Q114" s="11">
        <v>12</v>
      </c>
      <c r="R114" s="11" t="s">
        <v>119</v>
      </c>
      <c r="S114" s="11">
        <v>102</v>
      </c>
      <c r="T114" s="11" t="s">
        <v>200</v>
      </c>
      <c r="U114" s="11" t="s">
        <v>188</v>
      </c>
      <c r="V114" s="11" t="s">
        <v>99</v>
      </c>
      <c r="W114" t="str">
        <f t="shared" si="57"/>
        <v>30%</v>
      </c>
      <c r="X114" t="str">
        <f t="shared" si="58"/>
        <v>20%</v>
      </c>
      <c r="Y114">
        <f t="shared" si="59"/>
        <v>0</v>
      </c>
      <c r="Z114" t="str">
        <f t="shared" si="60"/>
        <v>Poor Sales</v>
      </c>
      <c r="AA114" t="b">
        <f t="shared" si="61"/>
        <v>1</v>
      </c>
      <c r="AB114" t="str">
        <f t="shared" si="62"/>
        <v>Error</v>
      </c>
      <c r="AC114" t="str">
        <f t="shared" si="56"/>
        <v>Laptop</v>
      </c>
      <c r="AD114" t="e">
        <f t="shared" si="72"/>
        <v>#N/A</v>
      </c>
      <c r="AE114" t="str">
        <f t="shared" si="73"/>
        <v>Debit</v>
      </c>
      <c r="AF114" t="str">
        <f t="shared" si="63"/>
        <v>POOR SALES</v>
      </c>
      <c r="AG114" t="str">
        <f t="shared" si="64"/>
        <v>True</v>
      </c>
      <c r="AH114" t="str">
        <f t="shared" si="65"/>
        <v>Saura</v>
      </c>
      <c r="AI114" t="str">
        <f t="shared" si="66"/>
        <v>1</v>
      </c>
      <c r="AJ114" t="s">
        <v>114</v>
      </c>
      <c r="AK114">
        <f t="shared" si="67"/>
        <v>396.5</v>
      </c>
      <c r="AL114" t="str">
        <f t="shared" si="68"/>
        <v>Tuesday</v>
      </c>
      <c r="AM114" s="9">
        <f t="shared" si="69"/>
        <v>40974</v>
      </c>
      <c r="AN114" t="str">
        <f t="shared" si="70"/>
        <v>2months,3days</v>
      </c>
      <c r="AO114" s="38">
        <v>42156</v>
      </c>
      <c r="AP114" s="20" t="str">
        <f t="shared" si="71"/>
        <v>||||||||||||||||||||||||||||||</v>
      </c>
      <c r="AQ114" s="17" t="s">
        <v>114</v>
      </c>
      <c r="AR114" s="22"/>
      <c r="BE114" t="str">
        <f ca="1" t="shared" si="53"/>
        <v>Sales</v>
      </c>
      <c r="BG114" s="5" t="s">
        <v>88</v>
      </c>
      <c r="BH114" s="5"/>
    </row>
    <row r="115" ht="15" spans="1:60">
      <c r="A115" s="11" t="s">
        <v>109</v>
      </c>
      <c r="B115" s="11" t="s">
        <v>110</v>
      </c>
      <c r="C115" s="13" t="s">
        <v>111</v>
      </c>
      <c r="D115" s="12">
        <v>10</v>
      </c>
      <c r="E115" s="11" t="s">
        <v>112</v>
      </c>
      <c r="F115" s="11" t="s">
        <v>86</v>
      </c>
      <c r="G115" s="11">
        <v>3</v>
      </c>
      <c r="H115" s="11" t="s">
        <v>113</v>
      </c>
      <c r="I115" s="14" t="s">
        <v>114</v>
      </c>
      <c r="J115" s="11" t="s">
        <v>115</v>
      </c>
      <c r="K115" s="11" t="s">
        <v>116</v>
      </c>
      <c r="L115" s="11" t="s">
        <v>117</v>
      </c>
      <c r="M115" s="11" t="s">
        <v>118</v>
      </c>
      <c r="N115" s="15">
        <v>41642</v>
      </c>
      <c r="O115" s="11">
        <v>305</v>
      </c>
      <c r="P115" s="11">
        <v>300</v>
      </c>
      <c r="Q115" s="11">
        <v>12</v>
      </c>
      <c r="R115" s="11" t="s">
        <v>119</v>
      </c>
      <c r="S115" s="11">
        <v>102</v>
      </c>
      <c r="T115" s="11" t="s">
        <v>200</v>
      </c>
      <c r="U115" s="11" t="s">
        <v>188</v>
      </c>
      <c r="V115" s="11" t="s">
        <v>99</v>
      </c>
      <c r="W115" t="str">
        <f t="shared" si="57"/>
        <v>30%</v>
      </c>
      <c r="X115" t="str">
        <f t="shared" si="58"/>
        <v>20%</v>
      </c>
      <c r="Y115">
        <f t="shared" si="59"/>
        <v>0</v>
      </c>
      <c r="Z115" t="str">
        <f t="shared" si="60"/>
        <v>Poor Sales</v>
      </c>
      <c r="AA115" t="b">
        <f t="shared" si="61"/>
        <v>1</v>
      </c>
      <c r="AB115" t="str">
        <f t="shared" si="62"/>
        <v>Error</v>
      </c>
      <c r="AC115" t="str">
        <f t="shared" si="56"/>
        <v>Laptop</v>
      </c>
      <c r="AD115" t="e">
        <f t="shared" si="72"/>
        <v>#N/A</v>
      </c>
      <c r="AE115" t="str">
        <f t="shared" si="73"/>
        <v>Debit</v>
      </c>
      <c r="AF115" t="str">
        <f t="shared" si="63"/>
        <v>POOR SALES</v>
      </c>
      <c r="AG115" t="str">
        <f t="shared" si="64"/>
        <v>True</v>
      </c>
      <c r="AH115" t="str">
        <f t="shared" si="65"/>
        <v>Saura</v>
      </c>
      <c r="AI115" t="str">
        <f t="shared" si="66"/>
        <v>2</v>
      </c>
      <c r="AJ115" t="s">
        <v>114</v>
      </c>
      <c r="AK115">
        <f t="shared" si="67"/>
        <v>396.5</v>
      </c>
      <c r="AL115" t="str">
        <f t="shared" si="68"/>
        <v>Friday</v>
      </c>
      <c r="AM115" s="9">
        <f t="shared" si="69"/>
        <v>41704</v>
      </c>
      <c r="AN115" t="str">
        <f t="shared" si="70"/>
        <v>2months,3days</v>
      </c>
      <c r="AP115" s="20" t="str">
        <f t="shared" si="71"/>
        <v>||||||||||||||||||||||||||||||</v>
      </c>
      <c r="AQ115" s="17" t="s">
        <v>114</v>
      </c>
      <c r="AR115" s="22"/>
      <c r="BE115" t="str">
        <f ca="1" t="shared" si="53"/>
        <v>Sales</v>
      </c>
      <c r="BG115" s="5" t="s">
        <v>110</v>
      </c>
      <c r="BH115" s="5"/>
    </row>
    <row r="116" ht="15" spans="1:60">
      <c r="A116" s="11" t="s">
        <v>109</v>
      </c>
      <c r="B116" s="11" t="s">
        <v>125</v>
      </c>
      <c r="C116" s="13" t="s">
        <v>111</v>
      </c>
      <c r="D116" s="12">
        <v>14</v>
      </c>
      <c r="E116" s="11" t="s">
        <v>146</v>
      </c>
      <c r="F116" s="11" t="s">
        <v>83</v>
      </c>
      <c r="G116" s="11">
        <v>6</v>
      </c>
      <c r="H116" s="11" t="s">
        <v>189</v>
      </c>
      <c r="I116" s="14" t="s">
        <v>190</v>
      </c>
      <c r="J116" s="11" t="s">
        <v>149</v>
      </c>
      <c r="K116" s="11" t="s">
        <v>116</v>
      </c>
      <c r="L116" s="11" t="s">
        <v>150</v>
      </c>
      <c r="M116" s="11" t="s">
        <v>118</v>
      </c>
      <c r="N116" s="15">
        <v>41338</v>
      </c>
      <c r="O116" s="11">
        <v>100</v>
      </c>
      <c r="P116" s="11">
        <v>600</v>
      </c>
      <c r="Q116" s="11">
        <v>15</v>
      </c>
      <c r="R116" s="11" t="s">
        <v>119</v>
      </c>
      <c r="S116" s="11">
        <v>102</v>
      </c>
      <c r="T116" s="11" t="s">
        <v>200</v>
      </c>
      <c r="U116" s="11" t="s">
        <v>188</v>
      </c>
      <c r="V116" s="11" t="s">
        <v>99</v>
      </c>
      <c r="W116">
        <f t="shared" si="57"/>
        <v>0</v>
      </c>
      <c r="X116" t="str">
        <f t="shared" si="58"/>
        <v>20%</v>
      </c>
      <c r="Y116">
        <f t="shared" si="59"/>
        <v>0</v>
      </c>
      <c r="Z116" t="str">
        <f t="shared" si="60"/>
        <v>Poor Sales</v>
      </c>
      <c r="AA116" t="b">
        <f t="shared" si="61"/>
        <v>0</v>
      </c>
      <c r="AB116" t="str">
        <f t="shared" si="62"/>
        <v>Error</v>
      </c>
      <c r="AC116" t="str">
        <f t="shared" si="56"/>
        <v>Laptop</v>
      </c>
      <c r="AD116" t="e">
        <f t="shared" si="72"/>
        <v>#N/A</v>
      </c>
      <c r="AE116" t="str">
        <f t="shared" si="73"/>
        <v>Credit</v>
      </c>
      <c r="AF116" t="str">
        <f t="shared" si="63"/>
        <v>POOR SALES</v>
      </c>
      <c r="AG116" t="str">
        <f t="shared" si="64"/>
        <v>False</v>
      </c>
      <c r="AH116" t="str">
        <f t="shared" si="65"/>
        <v>Yuvra</v>
      </c>
      <c r="AI116" t="str">
        <f t="shared" si="66"/>
        <v>8</v>
      </c>
      <c r="AJ116" t="s">
        <v>191</v>
      </c>
      <c r="AK116">
        <f t="shared" si="67"/>
        <v>100</v>
      </c>
      <c r="AL116" t="str">
        <f t="shared" si="68"/>
        <v>Tuesday</v>
      </c>
      <c r="AM116" s="9">
        <f t="shared" si="69"/>
        <v>41400</v>
      </c>
      <c r="AN116" t="str">
        <f t="shared" si="70"/>
        <v>2months,1days</v>
      </c>
      <c r="AP116" s="20" t="str">
        <f t="shared" si="71"/>
        <v>||||||||||</v>
      </c>
      <c r="AQ116" s="17" t="s">
        <v>190</v>
      </c>
      <c r="AR116" s="22"/>
      <c r="BE116" t="str">
        <f ca="1" t="shared" si="53"/>
        <v>Sales</v>
      </c>
      <c r="BG116" s="5" t="s">
        <v>110</v>
      </c>
      <c r="BH116" s="5"/>
    </row>
    <row r="117" ht="15" spans="1:60">
      <c r="A117" s="11" t="s">
        <v>109</v>
      </c>
      <c r="B117" s="11" t="s">
        <v>125</v>
      </c>
      <c r="C117" s="13" t="s">
        <v>111</v>
      </c>
      <c r="D117" s="12">
        <v>14</v>
      </c>
      <c r="E117" s="11" t="s">
        <v>146</v>
      </c>
      <c r="F117" s="11" t="s">
        <v>83</v>
      </c>
      <c r="G117" s="11">
        <v>6</v>
      </c>
      <c r="H117" s="11" t="s">
        <v>189</v>
      </c>
      <c r="I117" s="14" t="s">
        <v>190</v>
      </c>
      <c r="J117" s="11" t="s">
        <v>149</v>
      </c>
      <c r="K117" s="11" t="s">
        <v>116</v>
      </c>
      <c r="L117" s="11" t="s">
        <v>150</v>
      </c>
      <c r="M117" s="11" t="s">
        <v>118</v>
      </c>
      <c r="N117" s="15">
        <v>42068</v>
      </c>
      <c r="O117" s="11">
        <v>100</v>
      </c>
      <c r="P117" s="11">
        <v>600</v>
      </c>
      <c r="Q117" s="11">
        <v>15</v>
      </c>
      <c r="R117" s="11" t="s">
        <v>119</v>
      </c>
      <c r="S117" s="11">
        <v>102</v>
      </c>
      <c r="T117" s="11" t="s">
        <v>200</v>
      </c>
      <c r="U117" s="11" t="s">
        <v>188</v>
      </c>
      <c r="V117" s="11" t="s">
        <v>99</v>
      </c>
      <c r="W117">
        <f t="shared" si="57"/>
        <v>0</v>
      </c>
      <c r="X117" t="str">
        <f t="shared" si="58"/>
        <v>20%</v>
      </c>
      <c r="Y117">
        <f t="shared" si="59"/>
        <v>0</v>
      </c>
      <c r="Z117" t="str">
        <f t="shared" si="60"/>
        <v>Poor Sales</v>
      </c>
      <c r="AA117" t="b">
        <f t="shared" si="61"/>
        <v>0</v>
      </c>
      <c r="AB117" t="str">
        <f t="shared" si="62"/>
        <v>Error</v>
      </c>
      <c r="AC117" t="str">
        <f t="shared" si="56"/>
        <v>Laptop</v>
      </c>
      <c r="AD117" t="e">
        <f t="shared" si="72"/>
        <v>#N/A</v>
      </c>
      <c r="AE117" t="str">
        <f t="shared" si="73"/>
        <v>Credit</v>
      </c>
      <c r="AF117" t="str">
        <f t="shared" si="63"/>
        <v>POOR SALES</v>
      </c>
      <c r="AG117" t="str">
        <f t="shared" si="64"/>
        <v>False</v>
      </c>
      <c r="AH117" t="str">
        <f t="shared" si="65"/>
        <v>Yuvra</v>
      </c>
      <c r="AI117" t="str">
        <f t="shared" si="66"/>
        <v>8</v>
      </c>
      <c r="AJ117" t="s">
        <v>191</v>
      </c>
      <c r="AK117">
        <f t="shared" si="67"/>
        <v>100</v>
      </c>
      <c r="AL117" t="str">
        <f t="shared" si="68"/>
        <v>Thursday</v>
      </c>
      <c r="AM117" s="9">
        <f t="shared" si="69"/>
        <v>42130</v>
      </c>
      <c r="AN117" t="str">
        <f t="shared" si="70"/>
        <v>2months,1days</v>
      </c>
      <c r="AP117" s="20" t="str">
        <f t="shared" si="71"/>
        <v>||||||||||</v>
      </c>
      <c r="AQ117" s="17" t="s">
        <v>190</v>
      </c>
      <c r="AR117" s="22"/>
      <c r="BE117" t="str">
        <f ca="1" t="shared" si="53"/>
        <v>Sales</v>
      </c>
      <c r="BG117" s="5" t="s">
        <v>125</v>
      </c>
      <c r="BH117" s="5"/>
    </row>
    <row r="118" customHeight="1" spans="59:60">
      <c r="BG118" s="7" t="s">
        <v>125</v>
      </c>
      <c r="BH118" s="5"/>
    </row>
    <row r="119" customHeight="1" spans="14:60"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H119" s="5"/>
    </row>
    <row r="120" customHeight="1" spans="14:53"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</row>
    <row r="121" customHeight="1" spans="5:53">
      <c r="E121">
        <f>ROW(C118)</f>
        <v>118</v>
      </c>
      <c r="G121" s="3"/>
      <c r="H121" s="3"/>
      <c r="I121" s="3"/>
      <c r="J121" s="3"/>
      <c r="K121" s="3"/>
      <c r="L121" s="3"/>
      <c r="M121" s="3"/>
      <c r="N121" s="33" t="s">
        <v>201</v>
      </c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</row>
    <row r="122" customHeight="1" spans="5:53">
      <c r="E122">
        <f>ROW(F107)</f>
        <v>107</v>
      </c>
      <c r="G122" s="2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</row>
    <row r="123" customHeight="1" spans="5:53">
      <c r="E123">
        <f>COLUMN(F104)</f>
        <v>6</v>
      </c>
      <c r="N123" s="34" t="s">
        <v>202</v>
      </c>
      <c r="O123" s="35"/>
      <c r="P123" s="35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</row>
    <row r="124" customHeight="1" spans="5:53">
      <c r="E124">
        <f>COLUMN(D110)</f>
        <v>4</v>
      </c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</row>
    <row r="125" customHeight="1" spans="7:53">
      <c r="G125" s="11" t="s">
        <v>3</v>
      </c>
      <c r="H125" s="11" t="s">
        <v>4</v>
      </c>
      <c r="I125" s="11" t="s">
        <v>5</v>
      </c>
      <c r="J125" s="12" t="s">
        <v>6</v>
      </c>
      <c r="K125" s="11" t="s">
        <v>7</v>
      </c>
      <c r="L125" s="11" t="s">
        <v>8</v>
      </c>
      <c r="M125" s="11" t="s">
        <v>9</v>
      </c>
      <c r="N125" s="11" t="s">
        <v>10</v>
      </c>
      <c r="O125" s="14" t="s">
        <v>11</v>
      </c>
      <c r="P125" s="11" t="s">
        <v>12</v>
      </c>
      <c r="Q125" s="11" t="s">
        <v>13</v>
      </c>
      <c r="R125" s="11" t="s">
        <v>14</v>
      </c>
      <c r="S125" s="11" t="s">
        <v>15</v>
      </c>
      <c r="T125" s="11" t="s">
        <v>16</v>
      </c>
      <c r="U125" s="11" t="s">
        <v>0</v>
      </c>
      <c r="V125" s="11" t="s">
        <v>17</v>
      </c>
      <c r="W125" s="11" t="s">
        <v>18</v>
      </c>
      <c r="X125" s="11" t="s">
        <v>19</v>
      </c>
      <c r="Y125" s="11" t="s">
        <v>20</v>
      </c>
      <c r="Z125" s="11" t="s">
        <v>21</v>
      </c>
      <c r="AA125" s="11" t="s">
        <v>22</v>
      </c>
      <c r="AB125" s="11" t="s">
        <v>23</v>
      </c>
      <c r="AC125" s="11" t="s">
        <v>24</v>
      </c>
      <c r="AD125" s="11" t="s">
        <v>25</v>
      </c>
      <c r="AE125" s="11" t="s">
        <v>26</v>
      </c>
      <c r="AF125" s="11" t="s">
        <v>27</v>
      </c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</row>
    <row r="126" customHeight="1" spans="7:53">
      <c r="G126" s="11" t="s">
        <v>54</v>
      </c>
      <c r="H126" s="11" t="s">
        <v>55</v>
      </c>
      <c r="I126" s="11" t="s">
        <v>56</v>
      </c>
      <c r="J126" s="12">
        <v>30</v>
      </c>
      <c r="K126" s="11" t="s">
        <v>57</v>
      </c>
      <c r="L126" s="11" t="s">
        <v>58</v>
      </c>
      <c r="M126" s="11">
        <v>20</v>
      </c>
      <c r="N126" s="11" t="s">
        <v>59</v>
      </c>
      <c r="O126" s="14" t="s">
        <v>60</v>
      </c>
      <c r="P126" s="11" t="s">
        <v>61</v>
      </c>
      <c r="Q126" s="11" t="s">
        <v>62</v>
      </c>
      <c r="R126" s="11" t="s">
        <v>63</v>
      </c>
      <c r="S126" s="11" t="s">
        <v>64</v>
      </c>
      <c r="T126" s="15">
        <v>41336</v>
      </c>
      <c r="U126" s="11">
        <v>988</v>
      </c>
      <c r="V126" s="11">
        <v>800</v>
      </c>
      <c r="W126" s="11">
        <v>29</v>
      </c>
      <c r="X126" s="11" t="s">
        <v>65</v>
      </c>
      <c r="Y126" s="11">
        <v>110</v>
      </c>
      <c r="Z126" s="11" t="s">
        <v>66</v>
      </c>
      <c r="AA126" s="11" t="s">
        <v>67</v>
      </c>
      <c r="AB126" s="11" t="s">
        <v>68</v>
      </c>
      <c r="AC126" t="s">
        <v>203</v>
      </c>
      <c r="AD126" t="s">
        <v>204</v>
      </c>
      <c r="AE126" t="s">
        <v>204</v>
      </c>
      <c r="AF126" t="s">
        <v>205</v>
      </c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</row>
    <row r="127" customHeight="1" spans="7:53">
      <c r="G127" s="11" t="s">
        <v>54</v>
      </c>
      <c r="H127" s="11" t="s">
        <v>55</v>
      </c>
      <c r="I127" s="11" t="s">
        <v>56</v>
      </c>
      <c r="J127" s="12">
        <v>30</v>
      </c>
      <c r="K127" s="11" t="s">
        <v>57</v>
      </c>
      <c r="L127" s="11" t="s">
        <v>58</v>
      </c>
      <c r="M127" s="11">
        <v>20</v>
      </c>
      <c r="N127" s="11" t="s">
        <v>59</v>
      </c>
      <c r="O127" s="14" t="s">
        <v>60</v>
      </c>
      <c r="P127" s="11" t="s">
        <v>61</v>
      </c>
      <c r="Q127" s="11" t="s">
        <v>62</v>
      </c>
      <c r="R127" s="11" t="s">
        <v>63</v>
      </c>
      <c r="S127" s="11" t="s">
        <v>64</v>
      </c>
      <c r="T127" s="15">
        <v>42066</v>
      </c>
      <c r="U127" s="11">
        <v>988</v>
      </c>
      <c r="V127" s="11">
        <v>800</v>
      </c>
      <c r="W127" s="11">
        <v>29</v>
      </c>
      <c r="X127" s="11" t="s">
        <v>65</v>
      </c>
      <c r="Y127" s="11">
        <v>110</v>
      </c>
      <c r="Z127" s="11" t="s">
        <v>66</v>
      </c>
      <c r="AA127" s="11" t="s">
        <v>67</v>
      </c>
      <c r="AB127" s="11" t="s">
        <v>68</v>
      </c>
      <c r="AC127" t="s">
        <v>203</v>
      </c>
      <c r="AD127" t="s">
        <v>204</v>
      </c>
      <c r="AE127" t="s">
        <v>204</v>
      </c>
      <c r="AF127" t="s">
        <v>205</v>
      </c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</row>
    <row r="128" customHeight="1" spans="7:44">
      <c r="G128" s="11" t="s">
        <v>54</v>
      </c>
      <c r="H128" s="11" t="s">
        <v>55</v>
      </c>
      <c r="I128" s="11" t="s">
        <v>56</v>
      </c>
      <c r="J128" s="12">
        <v>30</v>
      </c>
      <c r="K128" s="11" t="s">
        <v>57</v>
      </c>
      <c r="L128" s="11" t="s">
        <v>58</v>
      </c>
      <c r="M128" s="11">
        <v>22</v>
      </c>
      <c r="N128" s="11" t="s">
        <v>97</v>
      </c>
      <c r="O128" s="14" t="s">
        <v>98</v>
      </c>
      <c r="P128" s="11" t="s">
        <v>61</v>
      </c>
      <c r="Q128" s="11" t="s">
        <v>99</v>
      </c>
      <c r="R128" s="11" t="s">
        <v>63</v>
      </c>
      <c r="S128" s="11" t="s">
        <v>64</v>
      </c>
      <c r="T128" s="15">
        <v>40909</v>
      </c>
      <c r="U128" s="11">
        <v>876</v>
      </c>
      <c r="V128" s="11">
        <v>1000</v>
      </c>
      <c r="W128" s="11">
        <v>31</v>
      </c>
      <c r="X128" s="11" t="s">
        <v>65</v>
      </c>
      <c r="Y128" s="11">
        <v>110</v>
      </c>
      <c r="Z128" s="11" t="s">
        <v>66</v>
      </c>
      <c r="AA128" s="11" t="s">
        <v>67</v>
      </c>
      <c r="AB128" s="11" t="s">
        <v>68</v>
      </c>
      <c r="AC128" t="s">
        <v>203</v>
      </c>
      <c r="AD128" t="s">
        <v>204</v>
      </c>
      <c r="AE128" t="s">
        <v>204</v>
      </c>
      <c r="AF128" t="s">
        <v>205</v>
      </c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</row>
    <row r="129" customHeight="1" spans="7:44">
      <c r="G129" s="11" t="s">
        <v>54</v>
      </c>
      <c r="H129" s="11" t="s">
        <v>55</v>
      </c>
      <c r="I129" s="11" t="s">
        <v>56</v>
      </c>
      <c r="J129" s="12">
        <v>30</v>
      </c>
      <c r="K129" s="11" t="s">
        <v>57</v>
      </c>
      <c r="L129" s="11" t="s">
        <v>58</v>
      </c>
      <c r="M129" s="11">
        <v>22</v>
      </c>
      <c r="N129" s="11" t="s">
        <v>97</v>
      </c>
      <c r="O129" s="14" t="s">
        <v>98</v>
      </c>
      <c r="P129" s="11" t="s">
        <v>61</v>
      </c>
      <c r="Q129" s="11" t="s">
        <v>62</v>
      </c>
      <c r="R129" s="11" t="s">
        <v>63</v>
      </c>
      <c r="S129" s="11" t="s">
        <v>64</v>
      </c>
      <c r="T129" s="15">
        <v>41640</v>
      </c>
      <c r="U129" s="11">
        <v>876</v>
      </c>
      <c r="V129" s="11">
        <v>1000</v>
      </c>
      <c r="W129" s="11">
        <v>31</v>
      </c>
      <c r="X129" s="11" t="s">
        <v>65</v>
      </c>
      <c r="Y129" s="11">
        <v>110</v>
      </c>
      <c r="Z129" s="11" t="s">
        <v>66</v>
      </c>
      <c r="AA129" s="11" t="s">
        <v>67</v>
      </c>
      <c r="AB129" s="11" t="s">
        <v>68</v>
      </c>
      <c r="AC129" t="s">
        <v>203</v>
      </c>
      <c r="AD129" t="s">
        <v>204</v>
      </c>
      <c r="AE129" t="s">
        <v>204</v>
      </c>
      <c r="AF129" t="s">
        <v>205</v>
      </c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</row>
    <row r="130" customHeight="1" spans="7:44">
      <c r="G130" s="11" t="s">
        <v>73</v>
      </c>
      <c r="H130" s="11" t="s">
        <v>124</v>
      </c>
      <c r="I130" s="11" t="s">
        <v>75</v>
      </c>
      <c r="J130" s="12">
        <v>24</v>
      </c>
      <c r="K130" s="11" t="s">
        <v>128</v>
      </c>
      <c r="L130" s="11" t="s">
        <v>85</v>
      </c>
      <c r="M130" s="11">
        <v>19</v>
      </c>
      <c r="N130" s="11" t="s">
        <v>129</v>
      </c>
      <c r="O130" s="14" t="s">
        <v>108</v>
      </c>
      <c r="P130" s="11" t="s">
        <v>130</v>
      </c>
      <c r="Q130" s="11" t="s">
        <v>62</v>
      </c>
      <c r="R130" s="11" t="s">
        <v>63</v>
      </c>
      <c r="S130" s="11" t="s">
        <v>64</v>
      </c>
      <c r="T130" s="15">
        <v>41342</v>
      </c>
      <c r="U130" s="11">
        <v>1020</v>
      </c>
      <c r="V130" s="11">
        <v>700</v>
      </c>
      <c r="W130" s="11">
        <v>28</v>
      </c>
      <c r="X130" s="11" t="s">
        <v>119</v>
      </c>
      <c r="Y130" s="11">
        <v>109</v>
      </c>
      <c r="Z130" s="11" t="s">
        <v>122</v>
      </c>
      <c r="AA130" s="11" t="s">
        <v>115</v>
      </c>
      <c r="AB130" s="11" t="s">
        <v>123</v>
      </c>
      <c r="AC130" t="s">
        <v>203</v>
      </c>
      <c r="AD130" t="s">
        <v>204</v>
      </c>
      <c r="AE130" t="s">
        <v>204</v>
      </c>
      <c r="AF130" t="s">
        <v>205</v>
      </c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</row>
    <row r="131" customHeight="1" spans="7:44">
      <c r="G131" s="11" t="s">
        <v>73</v>
      </c>
      <c r="H131" s="11" t="s">
        <v>124</v>
      </c>
      <c r="I131" s="11" t="s">
        <v>75</v>
      </c>
      <c r="J131" s="12">
        <v>24</v>
      </c>
      <c r="K131" s="11" t="s">
        <v>128</v>
      </c>
      <c r="L131" s="11" t="s">
        <v>85</v>
      </c>
      <c r="M131" s="11">
        <v>19</v>
      </c>
      <c r="N131" s="11" t="s">
        <v>129</v>
      </c>
      <c r="O131" s="14" t="s">
        <v>108</v>
      </c>
      <c r="P131" s="11" t="s">
        <v>130</v>
      </c>
      <c r="Q131" s="11" t="s">
        <v>62</v>
      </c>
      <c r="R131" s="11" t="s">
        <v>63</v>
      </c>
      <c r="S131" s="11" t="s">
        <v>64</v>
      </c>
      <c r="T131" s="15">
        <v>42072</v>
      </c>
      <c r="U131" s="11">
        <v>1020</v>
      </c>
      <c r="V131" s="11">
        <v>700</v>
      </c>
      <c r="W131" s="11">
        <v>28</v>
      </c>
      <c r="X131" s="11" t="s">
        <v>119</v>
      </c>
      <c r="Y131" s="11">
        <v>109</v>
      </c>
      <c r="Z131" s="11" t="s">
        <v>122</v>
      </c>
      <c r="AA131" s="11" t="s">
        <v>115</v>
      </c>
      <c r="AB131" s="11" t="s">
        <v>123</v>
      </c>
      <c r="AC131" t="s">
        <v>203</v>
      </c>
      <c r="AD131" t="s">
        <v>204</v>
      </c>
      <c r="AE131" t="s">
        <v>204</v>
      </c>
      <c r="AF131" t="s">
        <v>205</v>
      </c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</row>
    <row r="132" customHeight="1" spans="7:44">
      <c r="G132" s="11" t="s">
        <v>54</v>
      </c>
      <c r="H132" s="11" t="s">
        <v>55</v>
      </c>
      <c r="I132" s="11" t="s">
        <v>56</v>
      </c>
      <c r="J132" s="12">
        <v>30</v>
      </c>
      <c r="K132" s="11" t="s">
        <v>57</v>
      </c>
      <c r="L132" s="11" t="s">
        <v>58</v>
      </c>
      <c r="M132" s="11">
        <v>21</v>
      </c>
      <c r="N132" s="11" t="s">
        <v>138</v>
      </c>
      <c r="O132" s="14" t="s">
        <v>121</v>
      </c>
      <c r="P132" s="11" t="s">
        <v>130</v>
      </c>
      <c r="Q132" s="11" t="s">
        <v>99</v>
      </c>
      <c r="R132" s="11" t="s">
        <v>63</v>
      </c>
      <c r="S132" s="11" t="s">
        <v>64</v>
      </c>
      <c r="T132" s="15">
        <v>40911</v>
      </c>
      <c r="U132" s="11">
        <v>798</v>
      </c>
      <c r="V132" s="11">
        <v>900</v>
      </c>
      <c r="W132" s="11">
        <v>30</v>
      </c>
      <c r="X132" s="11" t="s">
        <v>119</v>
      </c>
      <c r="Y132" s="11">
        <v>109</v>
      </c>
      <c r="Z132" s="11" t="s">
        <v>122</v>
      </c>
      <c r="AA132" s="11" t="s">
        <v>115</v>
      </c>
      <c r="AB132" s="11" t="s">
        <v>123</v>
      </c>
      <c r="AC132" t="s">
        <v>203</v>
      </c>
      <c r="AD132" t="s">
        <v>204</v>
      </c>
      <c r="AE132" t="s">
        <v>204</v>
      </c>
      <c r="AF132" t="s">
        <v>206</v>
      </c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</row>
    <row r="133" customHeight="1" spans="7:44">
      <c r="G133" s="11" t="s">
        <v>54</v>
      </c>
      <c r="H133" s="11" t="s">
        <v>55</v>
      </c>
      <c r="I133" s="11" t="s">
        <v>56</v>
      </c>
      <c r="J133" s="12">
        <v>30</v>
      </c>
      <c r="K133" s="11" t="s">
        <v>57</v>
      </c>
      <c r="L133" s="11" t="s">
        <v>58</v>
      </c>
      <c r="M133" s="11">
        <v>21</v>
      </c>
      <c r="N133" s="11" t="s">
        <v>138</v>
      </c>
      <c r="O133" s="14" t="s">
        <v>121</v>
      </c>
      <c r="P133" s="11" t="s">
        <v>130</v>
      </c>
      <c r="Q133" s="11" t="s">
        <v>62</v>
      </c>
      <c r="R133" s="11" t="s">
        <v>63</v>
      </c>
      <c r="S133" s="11" t="s">
        <v>64</v>
      </c>
      <c r="T133" s="15">
        <v>41642</v>
      </c>
      <c r="U133" s="11">
        <v>798</v>
      </c>
      <c r="V133" s="11">
        <v>900</v>
      </c>
      <c r="W133" s="11">
        <v>30</v>
      </c>
      <c r="X133" s="11" t="s">
        <v>119</v>
      </c>
      <c r="Y133" s="11">
        <v>109</v>
      </c>
      <c r="Z133" s="11" t="s">
        <v>122</v>
      </c>
      <c r="AA133" s="11" t="s">
        <v>115</v>
      </c>
      <c r="AB133" s="11" t="s">
        <v>123</v>
      </c>
      <c r="AC133" t="s">
        <v>203</v>
      </c>
      <c r="AD133" t="s">
        <v>204</v>
      </c>
      <c r="AE133" t="s">
        <v>204</v>
      </c>
      <c r="AF133" t="s">
        <v>206</v>
      </c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</row>
    <row r="134" customHeight="1" spans="7:44">
      <c r="G134" s="11" t="s">
        <v>54</v>
      </c>
      <c r="H134" s="11" t="s">
        <v>55</v>
      </c>
      <c r="I134" s="11" t="s">
        <v>56</v>
      </c>
      <c r="J134" s="12">
        <v>30</v>
      </c>
      <c r="K134" s="11" t="s">
        <v>57</v>
      </c>
      <c r="L134" s="11" t="s">
        <v>58</v>
      </c>
      <c r="M134" s="11">
        <v>24</v>
      </c>
      <c r="N134" s="11" t="s">
        <v>151</v>
      </c>
      <c r="O134" s="14" t="s">
        <v>100</v>
      </c>
      <c r="P134" s="11" t="s">
        <v>61</v>
      </c>
      <c r="Q134" s="11" t="s">
        <v>62</v>
      </c>
      <c r="R134" s="11" t="s">
        <v>63</v>
      </c>
      <c r="S134" s="11" t="s">
        <v>64</v>
      </c>
      <c r="T134" s="15">
        <v>41335</v>
      </c>
      <c r="U134" s="11">
        <v>680</v>
      </c>
      <c r="V134" s="11">
        <v>1200</v>
      </c>
      <c r="W134" s="11">
        <v>33</v>
      </c>
      <c r="X134" s="11" t="s">
        <v>119</v>
      </c>
      <c r="Y134" s="11">
        <v>107</v>
      </c>
      <c r="Z134" s="11" t="s">
        <v>143</v>
      </c>
      <c r="AA134" s="11" t="s">
        <v>67</v>
      </c>
      <c r="AB134" s="11" t="s">
        <v>68</v>
      </c>
      <c r="AC134" t="s">
        <v>203</v>
      </c>
      <c r="AD134" t="s">
        <v>204</v>
      </c>
      <c r="AE134" t="s">
        <v>204</v>
      </c>
      <c r="AF134" t="s">
        <v>206</v>
      </c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</row>
    <row r="135" customHeight="1" spans="7:44">
      <c r="G135" s="11" t="s">
        <v>54</v>
      </c>
      <c r="H135" s="11" t="s">
        <v>55</v>
      </c>
      <c r="I135" s="11" t="s">
        <v>56</v>
      </c>
      <c r="J135" s="12">
        <v>30</v>
      </c>
      <c r="K135" s="11" t="s">
        <v>57</v>
      </c>
      <c r="L135" s="11" t="s">
        <v>58</v>
      </c>
      <c r="M135" s="11">
        <v>24</v>
      </c>
      <c r="N135" s="11" t="s">
        <v>151</v>
      </c>
      <c r="O135" s="14" t="s">
        <v>100</v>
      </c>
      <c r="P135" s="11" t="s">
        <v>61</v>
      </c>
      <c r="Q135" s="11" t="s">
        <v>62</v>
      </c>
      <c r="R135" s="11" t="s">
        <v>63</v>
      </c>
      <c r="S135" s="11" t="s">
        <v>64</v>
      </c>
      <c r="T135" s="15">
        <v>42065</v>
      </c>
      <c r="U135" s="11">
        <v>680</v>
      </c>
      <c r="V135" s="11">
        <v>1200</v>
      </c>
      <c r="W135" s="11">
        <v>33</v>
      </c>
      <c r="X135" s="11" t="s">
        <v>119</v>
      </c>
      <c r="Y135" s="11">
        <v>107</v>
      </c>
      <c r="Z135" s="11" t="s">
        <v>143</v>
      </c>
      <c r="AA135" s="11" t="s">
        <v>67</v>
      </c>
      <c r="AB135" s="11" t="s">
        <v>68</v>
      </c>
      <c r="AC135" t="s">
        <v>203</v>
      </c>
      <c r="AD135" t="s">
        <v>204</v>
      </c>
      <c r="AE135" t="s">
        <v>204</v>
      </c>
      <c r="AF135" t="s">
        <v>206</v>
      </c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</row>
    <row r="136" customHeight="1" spans="7:44">
      <c r="G136" s="11" t="s">
        <v>73</v>
      </c>
      <c r="H136" s="11" t="s">
        <v>124</v>
      </c>
      <c r="I136" s="11" t="s">
        <v>75</v>
      </c>
      <c r="J136" s="12">
        <v>24</v>
      </c>
      <c r="K136" s="11" t="s">
        <v>128</v>
      </c>
      <c r="L136" s="11" t="s">
        <v>85</v>
      </c>
      <c r="M136" s="11">
        <v>19</v>
      </c>
      <c r="N136" s="11" t="s">
        <v>129</v>
      </c>
      <c r="O136" s="14" t="s">
        <v>108</v>
      </c>
      <c r="P136" s="11" t="s">
        <v>130</v>
      </c>
      <c r="Q136" s="11" t="s">
        <v>99</v>
      </c>
      <c r="R136" s="11" t="s">
        <v>63</v>
      </c>
      <c r="S136" s="11" t="s">
        <v>64</v>
      </c>
      <c r="T136" s="15">
        <v>40909</v>
      </c>
      <c r="U136" s="11">
        <v>680</v>
      </c>
      <c r="V136" s="11">
        <v>700</v>
      </c>
      <c r="W136" s="11">
        <v>28</v>
      </c>
      <c r="X136" s="11" t="s">
        <v>65</v>
      </c>
      <c r="Y136" s="11">
        <v>107</v>
      </c>
      <c r="Z136" s="11" t="s">
        <v>143</v>
      </c>
      <c r="AA136" s="11" t="s">
        <v>67</v>
      </c>
      <c r="AB136" s="11" t="s">
        <v>68</v>
      </c>
      <c r="AC136" t="s">
        <v>203</v>
      </c>
      <c r="AD136" t="s">
        <v>204</v>
      </c>
      <c r="AE136" t="s">
        <v>204</v>
      </c>
      <c r="AF136" t="s">
        <v>206</v>
      </c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</row>
    <row r="137" customHeight="1" spans="7:44">
      <c r="G137" s="11" t="s">
        <v>73</v>
      </c>
      <c r="H137" s="11" t="s">
        <v>124</v>
      </c>
      <c r="I137" s="11" t="s">
        <v>75</v>
      </c>
      <c r="J137" s="12">
        <v>24</v>
      </c>
      <c r="K137" s="11" t="s">
        <v>128</v>
      </c>
      <c r="L137" s="11" t="s">
        <v>85</v>
      </c>
      <c r="M137" s="11">
        <v>19</v>
      </c>
      <c r="N137" s="11" t="s">
        <v>129</v>
      </c>
      <c r="O137" s="14" t="s">
        <v>108</v>
      </c>
      <c r="P137" s="11" t="s">
        <v>130</v>
      </c>
      <c r="Q137" s="11" t="s">
        <v>62</v>
      </c>
      <c r="R137" s="11" t="s">
        <v>63</v>
      </c>
      <c r="S137" s="11" t="s">
        <v>64</v>
      </c>
      <c r="T137" s="15">
        <v>41640</v>
      </c>
      <c r="U137" s="11">
        <v>680</v>
      </c>
      <c r="V137" s="11">
        <v>700</v>
      </c>
      <c r="W137" s="11">
        <v>28</v>
      </c>
      <c r="X137" s="11" t="s">
        <v>65</v>
      </c>
      <c r="Y137" s="11">
        <v>107</v>
      </c>
      <c r="Z137" s="11" t="s">
        <v>143</v>
      </c>
      <c r="AA137" s="11" t="s">
        <v>67</v>
      </c>
      <c r="AB137" s="11" t="s">
        <v>68</v>
      </c>
      <c r="AC137" t="s">
        <v>203</v>
      </c>
      <c r="AD137" t="s">
        <v>204</v>
      </c>
      <c r="AE137" t="s">
        <v>204</v>
      </c>
      <c r="AF137" t="s">
        <v>206</v>
      </c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</row>
    <row r="138" customHeight="1" spans="7:44">
      <c r="G138" s="11" t="s">
        <v>54</v>
      </c>
      <c r="H138" s="11" t="s">
        <v>55</v>
      </c>
      <c r="I138" s="11" t="s">
        <v>56</v>
      </c>
      <c r="J138" s="12">
        <v>30</v>
      </c>
      <c r="K138" s="11" t="s">
        <v>57</v>
      </c>
      <c r="L138" s="11" t="s">
        <v>58</v>
      </c>
      <c r="M138" s="11">
        <v>23</v>
      </c>
      <c r="N138" s="11" t="s">
        <v>175</v>
      </c>
      <c r="O138" s="14" t="s">
        <v>84</v>
      </c>
      <c r="P138" s="11" t="s">
        <v>91</v>
      </c>
      <c r="Q138" s="11" t="s">
        <v>62</v>
      </c>
      <c r="R138" s="11" t="s">
        <v>63</v>
      </c>
      <c r="S138" s="11" t="s">
        <v>64</v>
      </c>
      <c r="T138" s="15">
        <v>41336</v>
      </c>
      <c r="U138" s="11">
        <v>550</v>
      </c>
      <c r="V138" s="11">
        <v>1100</v>
      </c>
      <c r="W138" s="11">
        <v>32</v>
      </c>
      <c r="X138" s="11" t="s">
        <v>65</v>
      </c>
      <c r="Y138" s="11">
        <v>106</v>
      </c>
      <c r="Z138" s="11" t="s">
        <v>174</v>
      </c>
      <c r="AA138" s="11" t="s">
        <v>166</v>
      </c>
      <c r="AB138" s="11" t="s">
        <v>123</v>
      </c>
      <c r="AC138" t="s">
        <v>203</v>
      </c>
      <c r="AD138" t="s">
        <v>204</v>
      </c>
      <c r="AE138" t="s">
        <v>204</v>
      </c>
      <c r="AF138" t="s">
        <v>206</v>
      </c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</row>
    <row r="139" customHeight="1" spans="7:44">
      <c r="G139" s="11" t="s">
        <v>54</v>
      </c>
      <c r="H139" s="11" t="s">
        <v>55</v>
      </c>
      <c r="I139" s="11" t="s">
        <v>56</v>
      </c>
      <c r="J139" s="12">
        <v>30</v>
      </c>
      <c r="K139" s="11" t="s">
        <v>57</v>
      </c>
      <c r="L139" s="11" t="s">
        <v>58</v>
      </c>
      <c r="M139" s="11">
        <v>23</v>
      </c>
      <c r="N139" s="11" t="s">
        <v>175</v>
      </c>
      <c r="O139" s="14" t="s">
        <v>84</v>
      </c>
      <c r="P139" s="11" t="s">
        <v>91</v>
      </c>
      <c r="Q139" s="11" t="s">
        <v>62</v>
      </c>
      <c r="R139" s="11" t="s">
        <v>63</v>
      </c>
      <c r="S139" s="11" t="s">
        <v>64</v>
      </c>
      <c r="T139" s="15">
        <v>42066</v>
      </c>
      <c r="U139" s="11">
        <v>550</v>
      </c>
      <c r="V139" s="11">
        <v>1100</v>
      </c>
      <c r="W139" s="11">
        <v>32</v>
      </c>
      <c r="X139" s="11" t="s">
        <v>65</v>
      </c>
      <c r="Y139" s="11">
        <v>106</v>
      </c>
      <c r="Z139" s="11" t="s">
        <v>174</v>
      </c>
      <c r="AA139" s="11" t="s">
        <v>166</v>
      </c>
      <c r="AB139" s="11" t="s">
        <v>123</v>
      </c>
      <c r="AC139" t="s">
        <v>203</v>
      </c>
      <c r="AD139" t="s">
        <v>204</v>
      </c>
      <c r="AE139" t="s">
        <v>204</v>
      </c>
      <c r="AF139" t="s">
        <v>206</v>
      </c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</row>
    <row r="140" customHeight="1" spans="7:44">
      <c r="G140" s="11" t="s">
        <v>54</v>
      </c>
      <c r="H140" s="11" t="s">
        <v>55</v>
      </c>
      <c r="I140" s="11" t="s">
        <v>56</v>
      </c>
      <c r="J140" s="12">
        <v>30</v>
      </c>
      <c r="K140" s="11" t="s">
        <v>57</v>
      </c>
      <c r="L140" s="11" t="s">
        <v>58</v>
      </c>
      <c r="M140" s="11">
        <v>20</v>
      </c>
      <c r="N140" s="11" t="s">
        <v>59</v>
      </c>
      <c r="O140" s="14" t="s">
        <v>60</v>
      </c>
      <c r="P140" s="11" t="s">
        <v>61</v>
      </c>
      <c r="Q140" s="11" t="s">
        <v>99</v>
      </c>
      <c r="R140" s="11" t="s">
        <v>63</v>
      </c>
      <c r="S140" s="11" t="s">
        <v>64</v>
      </c>
      <c r="T140" s="15">
        <v>40910</v>
      </c>
      <c r="U140" s="11">
        <v>700</v>
      </c>
      <c r="V140" s="11">
        <v>800</v>
      </c>
      <c r="W140" s="11">
        <v>29</v>
      </c>
      <c r="X140" s="11" t="s">
        <v>119</v>
      </c>
      <c r="Y140" s="11">
        <v>108</v>
      </c>
      <c r="Z140" s="11" t="s">
        <v>181</v>
      </c>
      <c r="AA140" s="11" t="s">
        <v>182</v>
      </c>
      <c r="AB140" s="11" t="s">
        <v>99</v>
      </c>
      <c r="AC140" t="s">
        <v>203</v>
      </c>
      <c r="AD140" t="s">
        <v>204</v>
      </c>
      <c r="AE140" t="s">
        <v>204</v>
      </c>
      <c r="AF140" t="s">
        <v>206</v>
      </c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</row>
    <row r="141" customHeight="1" spans="7:44">
      <c r="G141" s="11" t="s">
        <v>54</v>
      </c>
      <c r="H141" s="11" t="s">
        <v>55</v>
      </c>
      <c r="I141" s="11" t="s">
        <v>56</v>
      </c>
      <c r="J141" s="12">
        <v>30</v>
      </c>
      <c r="K141" s="11" t="s">
        <v>57</v>
      </c>
      <c r="L141" s="11" t="s">
        <v>58</v>
      </c>
      <c r="M141" s="11">
        <v>20</v>
      </c>
      <c r="N141" s="11" t="s">
        <v>59</v>
      </c>
      <c r="O141" s="14" t="s">
        <v>60</v>
      </c>
      <c r="P141" s="11" t="s">
        <v>61</v>
      </c>
      <c r="Q141" s="11" t="s">
        <v>62</v>
      </c>
      <c r="R141" s="11" t="s">
        <v>63</v>
      </c>
      <c r="S141" s="11" t="s">
        <v>64</v>
      </c>
      <c r="T141" s="15">
        <v>41641</v>
      </c>
      <c r="U141" s="11">
        <v>700</v>
      </c>
      <c r="V141" s="11">
        <v>800</v>
      </c>
      <c r="W141" s="11">
        <v>29</v>
      </c>
      <c r="X141" s="11" t="s">
        <v>119</v>
      </c>
      <c r="Y141" s="11">
        <v>108</v>
      </c>
      <c r="Z141" s="11" t="s">
        <v>181</v>
      </c>
      <c r="AA141" s="11" t="s">
        <v>182</v>
      </c>
      <c r="AB141" s="11" t="s">
        <v>99</v>
      </c>
      <c r="AC141" t="s">
        <v>203</v>
      </c>
      <c r="AD141" t="s">
        <v>204</v>
      </c>
      <c r="AE141" t="s">
        <v>204</v>
      </c>
      <c r="AF141" t="s">
        <v>206</v>
      </c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</row>
    <row r="142" customHeight="1" spans="7:44">
      <c r="G142" s="11" t="s">
        <v>54</v>
      </c>
      <c r="H142" s="11" t="s">
        <v>88</v>
      </c>
      <c r="I142" s="11" t="s">
        <v>56</v>
      </c>
      <c r="J142" s="12">
        <v>38</v>
      </c>
      <c r="K142" s="11" t="s">
        <v>89</v>
      </c>
      <c r="L142" s="11" t="s">
        <v>72</v>
      </c>
      <c r="M142" s="11">
        <v>25</v>
      </c>
      <c r="N142" s="11" t="s">
        <v>183</v>
      </c>
      <c r="O142" s="14" t="s">
        <v>96</v>
      </c>
      <c r="P142" s="11" t="s">
        <v>130</v>
      </c>
      <c r="Q142" s="11" t="s">
        <v>62</v>
      </c>
      <c r="R142" s="11" t="s">
        <v>63</v>
      </c>
      <c r="S142" s="11" t="s">
        <v>64</v>
      </c>
      <c r="T142" s="15">
        <v>41336</v>
      </c>
      <c r="U142" s="11">
        <v>700</v>
      </c>
      <c r="V142" s="11">
        <v>1300</v>
      </c>
      <c r="W142" s="11">
        <v>34</v>
      </c>
      <c r="X142" s="11" t="s">
        <v>65</v>
      </c>
      <c r="Y142" s="11">
        <v>108</v>
      </c>
      <c r="Z142" s="11" t="s">
        <v>181</v>
      </c>
      <c r="AA142" s="11" t="s">
        <v>182</v>
      </c>
      <c r="AB142" s="11" t="s">
        <v>99</v>
      </c>
      <c r="AC142" t="s">
        <v>203</v>
      </c>
      <c r="AD142" t="s">
        <v>204</v>
      </c>
      <c r="AE142" t="s">
        <v>204</v>
      </c>
      <c r="AF142" t="s">
        <v>206</v>
      </c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</row>
    <row r="143" customHeight="1" spans="7:44">
      <c r="G143" s="11" t="s">
        <v>54</v>
      </c>
      <c r="H143" s="11" t="s">
        <v>88</v>
      </c>
      <c r="I143" s="11" t="s">
        <v>56</v>
      </c>
      <c r="J143" s="12">
        <v>38</v>
      </c>
      <c r="K143" s="11" t="s">
        <v>89</v>
      </c>
      <c r="L143" s="11" t="s">
        <v>72</v>
      </c>
      <c r="M143" s="11">
        <v>25</v>
      </c>
      <c r="N143" s="11" t="s">
        <v>183</v>
      </c>
      <c r="O143" s="14" t="s">
        <v>96</v>
      </c>
      <c r="P143" s="11" t="s">
        <v>130</v>
      </c>
      <c r="Q143" s="11" t="s">
        <v>62</v>
      </c>
      <c r="R143" s="11" t="s">
        <v>63</v>
      </c>
      <c r="S143" s="11" t="s">
        <v>64</v>
      </c>
      <c r="T143" s="15">
        <v>42066</v>
      </c>
      <c r="U143" s="11">
        <v>700</v>
      </c>
      <c r="V143" s="11">
        <v>1300</v>
      </c>
      <c r="W143" s="11">
        <v>34</v>
      </c>
      <c r="X143" s="11" t="s">
        <v>65</v>
      </c>
      <c r="Y143" s="11">
        <v>108</v>
      </c>
      <c r="Z143" s="11" t="s">
        <v>181</v>
      </c>
      <c r="AA143" s="11" t="s">
        <v>182</v>
      </c>
      <c r="AB143" s="11" t="s">
        <v>99</v>
      </c>
      <c r="AC143" t="s">
        <v>203</v>
      </c>
      <c r="AD143" t="s">
        <v>204</v>
      </c>
      <c r="AE143" t="s">
        <v>204</v>
      </c>
      <c r="AF143" t="s">
        <v>206</v>
      </c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</row>
    <row r="144" customHeight="1" spans="7:44">
      <c r="G144" s="11" t="s">
        <v>54</v>
      </c>
      <c r="H144" s="11" t="s">
        <v>55</v>
      </c>
      <c r="I144" s="11" t="s">
        <v>56</v>
      </c>
      <c r="J144" s="12">
        <v>30</v>
      </c>
      <c r="K144" s="11" t="s">
        <v>57</v>
      </c>
      <c r="L144" s="11" t="s">
        <v>58</v>
      </c>
      <c r="M144" s="11">
        <v>23</v>
      </c>
      <c r="N144" s="11" t="s">
        <v>175</v>
      </c>
      <c r="O144" s="14" t="s">
        <v>84</v>
      </c>
      <c r="P144" s="11" t="s">
        <v>91</v>
      </c>
      <c r="Q144" s="11" t="s">
        <v>99</v>
      </c>
      <c r="R144" s="11" t="s">
        <v>63</v>
      </c>
      <c r="S144" s="11" t="s">
        <v>64</v>
      </c>
      <c r="T144" s="15">
        <v>40910</v>
      </c>
      <c r="U144" s="11">
        <v>1020</v>
      </c>
      <c r="V144" s="11">
        <v>1100</v>
      </c>
      <c r="W144" s="11">
        <v>32</v>
      </c>
      <c r="X144" s="11" t="s">
        <v>119</v>
      </c>
      <c r="Y144" s="11">
        <v>100</v>
      </c>
      <c r="Z144" s="11" t="s">
        <v>192</v>
      </c>
      <c r="AA144" s="11" t="s">
        <v>166</v>
      </c>
      <c r="AB144" s="11" t="s">
        <v>123</v>
      </c>
      <c r="AC144" t="s">
        <v>203</v>
      </c>
      <c r="AD144" t="s">
        <v>204</v>
      </c>
      <c r="AE144" t="s">
        <v>204</v>
      </c>
      <c r="AF144" t="s">
        <v>205</v>
      </c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</row>
    <row r="145" customHeight="1" spans="7:44">
      <c r="G145" s="11" t="s">
        <v>54</v>
      </c>
      <c r="H145" s="11" t="s">
        <v>55</v>
      </c>
      <c r="I145" s="11" t="s">
        <v>56</v>
      </c>
      <c r="J145" s="12">
        <v>30</v>
      </c>
      <c r="K145" s="11" t="s">
        <v>57</v>
      </c>
      <c r="L145" s="11" t="s">
        <v>58</v>
      </c>
      <c r="M145" s="11">
        <v>23</v>
      </c>
      <c r="N145" s="11" t="s">
        <v>175</v>
      </c>
      <c r="O145" s="14" t="s">
        <v>84</v>
      </c>
      <c r="P145" s="11" t="s">
        <v>91</v>
      </c>
      <c r="Q145" s="11" t="s">
        <v>62</v>
      </c>
      <c r="R145" s="11" t="s">
        <v>63</v>
      </c>
      <c r="S145" s="11" t="s">
        <v>64</v>
      </c>
      <c r="T145" s="15">
        <v>41641</v>
      </c>
      <c r="U145" s="11">
        <v>1020</v>
      </c>
      <c r="V145" s="11">
        <v>1100</v>
      </c>
      <c r="W145" s="11">
        <v>32</v>
      </c>
      <c r="X145" s="11" t="s">
        <v>119</v>
      </c>
      <c r="Y145" s="11">
        <v>100</v>
      </c>
      <c r="Z145" s="11" t="s">
        <v>192</v>
      </c>
      <c r="AA145" s="11" t="s">
        <v>166</v>
      </c>
      <c r="AB145" s="11" t="s">
        <v>123</v>
      </c>
      <c r="AC145" t="s">
        <v>203</v>
      </c>
      <c r="AD145" t="s">
        <v>204</v>
      </c>
      <c r="AE145" t="s">
        <v>204</v>
      </c>
      <c r="AF145" t="s">
        <v>205</v>
      </c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</row>
    <row r="146" customHeight="1" spans="7:44">
      <c r="G146" s="11" t="s">
        <v>54</v>
      </c>
      <c r="H146" s="11" t="s">
        <v>55</v>
      </c>
      <c r="I146" s="11" t="s">
        <v>56</v>
      </c>
      <c r="J146" s="12">
        <v>30</v>
      </c>
      <c r="K146" s="11" t="s">
        <v>57</v>
      </c>
      <c r="L146" s="11" t="s">
        <v>58</v>
      </c>
      <c r="M146" s="11">
        <v>21</v>
      </c>
      <c r="N146" s="11" t="s">
        <v>138</v>
      </c>
      <c r="O146" s="14" t="s">
        <v>121</v>
      </c>
      <c r="P146" s="11" t="s">
        <v>130</v>
      </c>
      <c r="Q146" s="11" t="s">
        <v>62</v>
      </c>
      <c r="R146" s="11" t="s">
        <v>63</v>
      </c>
      <c r="S146" s="11" t="s">
        <v>64</v>
      </c>
      <c r="T146" s="15">
        <v>41335</v>
      </c>
      <c r="U146" s="11">
        <v>100</v>
      </c>
      <c r="V146" s="11">
        <v>900</v>
      </c>
      <c r="W146" s="11">
        <v>30</v>
      </c>
      <c r="X146" s="11" t="s">
        <v>119</v>
      </c>
      <c r="Y146" s="11">
        <v>100</v>
      </c>
      <c r="Z146" s="11" t="s">
        <v>192</v>
      </c>
      <c r="AA146" s="11" t="s">
        <v>166</v>
      </c>
      <c r="AB146" s="11" t="s">
        <v>123</v>
      </c>
      <c r="AC146">
        <v>0</v>
      </c>
      <c r="AD146" t="s">
        <v>204</v>
      </c>
      <c r="AE146">
        <v>0</v>
      </c>
      <c r="AF146" t="s">
        <v>207</v>
      </c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</row>
    <row r="147" customHeight="1" spans="7:44">
      <c r="G147" s="11" t="s">
        <v>54</v>
      </c>
      <c r="H147" s="11" t="s">
        <v>55</v>
      </c>
      <c r="I147" s="11" t="s">
        <v>56</v>
      </c>
      <c r="J147" s="12">
        <v>30</v>
      </c>
      <c r="K147" s="11" t="s">
        <v>57</v>
      </c>
      <c r="L147" s="11" t="s">
        <v>58</v>
      </c>
      <c r="M147" s="11">
        <v>21</v>
      </c>
      <c r="N147" s="11" t="s">
        <v>138</v>
      </c>
      <c r="O147" s="14" t="s">
        <v>121</v>
      </c>
      <c r="P147" s="11" t="s">
        <v>130</v>
      </c>
      <c r="Q147" s="11" t="s">
        <v>62</v>
      </c>
      <c r="R147" s="11" t="s">
        <v>63</v>
      </c>
      <c r="S147" s="11" t="s">
        <v>64</v>
      </c>
      <c r="T147" s="15">
        <v>42065</v>
      </c>
      <c r="U147" s="11">
        <v>100</v>
      </c>
      <c r="V147" s="11">
        <v>900</v>
      </c>
      <c r="W147" s="11">
        <v>30</v>
      </c>
      <c r="X147" s="11" t="s">
        <v>119</v>
      </c>
      <c r="Y147" s="11">
        <v>100</v>
      </c>
      <c r="Z147" s="11" t="s">
        <v>192</v>
      </c>
      <c r="AA147" s="11" t="s">
        <v>166</v>
      </c>
      <c r="AB147" s="11" t="s">
        <v>123</v>
      </c>
      <c r="AC147">
        <v>0</v>
      </c>
      <c r="AD147" t="s">
        <v>204</v>
      </c>
      <c r="AE147">
        <v>0</v>
      </c>
      <c r="AF147" t="s">
        <v>207</v>
      </c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</row>
    <row r="148" customHeight="1" spans="7:44">
      <c r="G148" s="11" t="s">
        <v>54</v>
      </c>
      <c r="H148" s="11" t="s">
        <v>55</v>
      </c>
      <c r="I148" s="11" t="s">
        <v>56</v>
      </c>
      <c r="J148" s="12">
        <v>30</v>
      </c>
      <c r="K148" s="11" t="s">
        <v>57</v>
      </c>
      <c r="L148" s="11" t="s">
        <v>58</v>
      </c>
      <c r="M148" s="11">
        <v>24</v>
      </c>
      <c r="N148" s="11" t="s">
        <v>151</v>
      </c>
      <c r="O148" s="14" t="s">
        <v>100</v>
      </c>
      <c r="P148" s="11" t="s">
        <v>61</v>
      </c>
      <c r="Q148" s="11" t="s">
        <v>99</v>
      </c>
      <c r="R148" s="11" t="s">
        <v>63</v>
      </c>
      <c r="S148" s="11" t="s">
        <v>64</v>
      </c>
      <c r="T148" s="15">
        <v>40911</v>
      </c>
      <c r="U148" s="11">
        <v>988</v>
      </c>
      <c r="V148" s="11">
        <v>1200</v>
      </c>
      <c r="W148" s="11">
        <v>33</v>
      </c>
      <c r="X148" s="11" t="s">
        <v>119</v>
      </c>
      <c r="Y148" s="11">
        <v>101</v>
      </c>
      <c r="Z148" s="11" t="s">
        <v>197</v>
      </c>
      <c r="AA148" s="11" t="s">
        <v>158</v>
      </c>
      <c r="AB148" s="11" t="s">
        <v>68</v>
      </c>
      <c r="AC148" t="s">
        <v>203</v>
      </c>
      <c r="AD148" t="s">
        <v>204</v>
      </c>
      <c r="AE148" t="s">
        <v>204</v>
      </c>
      <c r="AF148" t="s">
        <v>205</v>
      </c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</row>
    <row r="149" customHeight="1" spans="7:44">
      <c r="G149" s="11" t="s">
        <v>54</v>
      </c>
      <c r="H149" s="11" t="s">
        <v>55</v>
      </c>
      <c r="I149" s="11" t="s">
        <v>56</v>
      </c>
      <c r="J149" s="12">
        <v>30</v>
      </c>
      <c r="K149" s="11" t="s">
        <v>57</v>
      </c>
      <c r="L149" s="11" t="s">
        <v>58</v>
      </c>
      <c r="M149" s="11">
        <v>24</v>
      </c>
      <c r="N149" s="11" t="s">
        <v>151</v>
      </c>
      <c r="O149" s="14" t="s">
        <v>100</v>
      </c>
      <c r="P149" s="11" t="s">
        <v>61</v>
      </c>
      <c r="Q149" s="11" t="s">
        <v>62</v>
      </c>
      <c r="R149" s="11" t="s">
        <v>63</v>
      </c>
      <c r="S149" s="11" t="s">
        <v>64</v>
      </c>
      <c r="T149" s="15">
        <v>41642</v>
      </c>
      <c r="U149" s="11">
        <v>988</v>
      </c>
      <c r="V149" s="11">
        <v>1200</v>
      </c>
      <c r="W149" s="11">
        <v>33</v>
      </c>
      <c r="X149" s="11" t="s">
        <v>119</v>
      </c>
      <c r="Y149" s="11">
        <v>101</v>
      </c>
      <c r="Z149" s="11" t="s">
        <v>197</v>
      </c>
      <c r="AA149" s="11" t="s">
        <v>158</v>
      </c>
      <c r="AB149" s="11" t="s">
        <v>68</v>
      </c>
      <c r="AC149" t="s">
        <v>203</v>
      </c>
      <c r="AD149" t="s">
        <v>204</v>
      </c>
      <c r="AE149" t="s">
        <v>204</v>
      </c>
      <c r="AF149" t="s">
        <v>205</v>
      </c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</row>
    <row r="150" customHeight="1" spans="7:44">
      <c r="G150" s="11" t="s">
        <v>54</v>
      </c>
      <c r="H150" s="11" t="s">
        <v>55</v>
      </c>
      <c r="I150" s="11" t="s">
        <v>56</v>
      </c>
      <c r="J150" s="12">
        <v>30</v>
      </c>
      <c r="K150" s="11" t="s">
        <v>57</v>
      </c>
      <c r="L150" s="11" t="s">
        <v>58</v>
      </c>
      <c r="M150" s="11">
        <v>22</v>
      </c>
      <c r="N150" s="11" t="s">
        <v>97</v>
      </c>
      <c r="O150" s="14" t="s">
        <v>98</v>
      </c>
      <c r="P150" s="11" t="s">
        <v>61</v>
      </c>
      <c r="Q150" s="11" t="s">
        <v>62</v>
      </c>
      <c r="R150" s="11" t="s">
        <v>63</v>
      </c>
      <c r="S150" s="11" t="s">
        <v>64</v>
      </c>
      <c r="T150" s="15">
        <v>41336</v>
      </c>
      <c r="U150" s="11">
        <v>1000</v>
      </c>
      <c r="V150" s="11">
        <v>1000</v>
      </c>
      <c r="W150" s="11">
        <v>31</v>
      </c>
      <c r="X150" s="11" t="s">
        <v>65</v>
      </c>
      <c r="Y150" s="11">
        <v>101</v>
      </c>
      <c r="Z150" s="11" t="s">
        <v>197</v>
      </c>
      <c r="AA150" s="11" t="s">
        <v>158</v>
      </c>
      <c r="AB150" s="11" t="s">
        <v>68</v>
      </c>
      <c r="AC150" t="s">
        <v>203</v>
      </c>
      <c r="AD150" t="s">
        <v>204</v>
      </c>
      <c r="AE150" t="s">
        <v>204</v>
      </c>
      <c r="AF150" t="s">
        <v>205</v>
      </c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</row>
    <row r="151" customHeight="1" spans="7:44">
      <c r="G151" s="11" t="s">
        <v>54</v>
      </c>
      <c r="H151" s="11" t="s">
        <v>55</v>
      </c>
      <c r="I151" s="11" t="s">
        <v>56</v>
      </c>
      <c r="J151" s="12">
        <v>30</v>
      </c>
      <c r="K151" s="11" t="s">
        <v>57</v>
      </c>
      <c r="L151" s="11" t="s">
        <v>58</v>
      </c>
      <c r="M151" s="11">
        <v>22</v>
      </c>
      <c r="N151" s="11" t="s">
        <v>97</v>
      </c>
      <c r="O151" s="14" t="s">
        <v>98</v>
      </c>
      <c r="P151" s="11" t="s">
        <v>61</v>
      </c>
      <c r="Q151" s="11" t="s">
        <v>62</v>
      </c>
      <c r="R151" s="11" t="s">
        <v>63</v>
      </c>
      <c r="S151" s="11" t="s">
        <v>64</v>
      </c>
      <c r="T151" s="15">
        <v>42066</v>
      </c>
      <c r="U151" s="11">
        <v>1000</v>
      </c>
      <c r="V151" s="11">
        <v>1000</v>
      </c>
      <c r="W151" s="11">
        <v>31</v>
      </c>
      <c r="X151" s="11" t="s">
        <v>65</v>
      </c>
      <c r="Y151" s="11">
        <v>101</v>
      </c>
      <c r="Z151" s="11" t="s">
        <v>197</v>
      </c>
      <c r="AA151" s="11" t="s">
        <v>158</v>
      </c>
      <c r="AB151" s="11" t="s">
        <v>68</v>
      </c>
      <c r="AC151" t="s">
        <v>203</v>
      </c>
      <c r="AD151" t="s">
        <v>204</v>
      </c>
      <c r="AE151" t="s">
        <v>204</v>
      </c>
      <c r="AF151" t="s">
        <v>205</v>
      </c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</row>
    <row r="152" customHeight="1" spans="7:44">
      <c r="G152" s="11" t="s">
        <v>54</v>
      </c>
      <c r="H152" s="11" t="s">
        <v>88</v>
      </c>
      <c r="I152" s="11" t="s">
        <v>56</v>
      </c>
      <c r="J152" s="12">
        <v>38</v>
      </c>
      <c r="K152" s="11" t="s">
        <v>89</v>
      </c>
      <c r="L152" s="11" t="s">
        <v>72</v>
      </c>
      <c r="M152" s="11">
        <v>25</v>
      </c>
      <c r="N152" s="11" t="s">
        <v>183</v>
      </c>
      <c r="O152" s="14" t="s">
        <v>96</v>
      </c>
      <c r="P152" s="11" t="s">
        <v>130</v>
      </c>
      <c r="Q152" s="11" t="s">
        <v>99</v>
      </c>
      <c r="R152" s="11" t="s">
        <v>63</v>
      </c>
      <c r="S152" s="11" t="s">
        <v>64</v>
      </c>
      <c r="T152" s="15">
        <v>40912</v>
      </c>
      <c r="U152" s="11">
        <v>100</v>
      </c>
      <c r="V152" s="11">
        <v>1300</v>
      </c>
      <c r="W152" s="11">
        <v>34</v>
      </c>
      <c r="X152" s="11" t="s">
        <v>65</v>
      </c>
      <c r="Y152" s="11">
        <v>102</v>
      </c>
      <c r="Z152" s="11" t="s">
        <v>200</v>
      </c>
      <c r="AA152" s="11" t="s">
        <v>188</v>
      </c>
      <c r="AB152" s="11" t="s">
        <v>99</v>
      </c>
      <c r="AC152">
        <v>0</v>
      </c>
      <c r="AD152" t="s">
        <v>204</v>
      </c>
      <c r="AE152">
        <v>0</v>
      </c>
      <c r="AF152" t="s">
        <v>207</v>
      </c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</row>
    <row r="153" customHeight="1" spans="7:44">
      <c r="G153" s="11" t="s">
        <v>54</v>
      </c>
      <c r="H153" s="11" t="s">
        <v>88</v>
      </c>
      <c r="I153" s="11" t="s">
        <v>56</v>
      </c>
      <c r="J153" s="12">
        <v>38</v>
      </c>
      <c r="K153" s="11" t="s">
        <v>89</v>
      </c>
      <c r="L153" s="11" t="s">
        <v>72</v>
      </c>
      <c r="M153" s="11">
        <v>25</v>
      </c>
      <c r="N153" s="11" t="s">
        <v>183</v>
      </c>
      <c r="O153" s="14" t="s">
        <v>96</v>
      </c>
      <c r="P153" s="11" t="s">
        <v>130</v>
      </c>
      <c r="Q153" s="11" t="s">
        <v>62</v>
      </c>
      <c r="R153" s="11" t="s">
        <v>63</v>
      </c>
      <c r="S153" s="11" t="s">
        <v>64</v>
      </c>
      <c r="T153" s="15">
        <v>41643</v>
      </c>
      <c r="U153" s="11">
        <v>100</v>
      </c>
      <c r="V153" s="11">
        <v>1300</v>
      </c>
      <c r="W153" s="11">
        <v>34</v>
      </c>
      <c r="X153" s="11" t="s">
        <v>65</v>
      </c>
      <c r="Y153" s="11">
        <v>102</v>
      </c>
      <c r="Z153" s="11" t="s">
        <v>200</v>
      </c>
      <c r="AA153" s="11" t="s">
        <v>188</v>
      </c>
      <c r="AB153" s="11" t="s">
        <v>99</v>
      </c>
      <c r="AC153">
        <v>0</v>
      </c>
      <c r="AD153" t="s">
        <v>204</v>
      </c>
      <c r="AE153">
        <v>0</v>
      </c>
      <c r="AF153" t="s">
        <v>207</v>
      </c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</row>
    <row r="154" customHeight="1" spans="14:44"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</row>
    <row r="155" customHeight="1" spans="14:44"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</row>
    <row r="156" customHeight="1" spans="14:44"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</row>
    <row r="157" customHeight="1" spans="14:44"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</row>
    <row r="158" customHeight="1" spans="14:44"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</row>
    <row r="159" customHeight="1" spans="14:44"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</row>
    <row r="160" customHeight="1" spans="14:44"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</row>
    <row r="161" customHeight="1" spans="14:44"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</row>
    <row r="162" customHeight="1" spans="14:44"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</row>
    <row r="163" customHeight="1" spans="14:44"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</row>
    <row r="164" customHeight="1" spans="14:44"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</row>
    <row r="165" customHeight="1" spans="14:44"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</row>
    <row r="166" customHeight="1" spans="14:44"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</row>
    <row r="167" customHeight="1" spans="14:44"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</row>
    <row r="168" customHeight="1" spans="14:44"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</row>
    <row r="169" customHeight="1" spans="14:44"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</row>
    <row r="170" customHeight="1" spans="14:44"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</row>
    <row r="171" customHeight="1" spans="14:44"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</row>
    <row r="172" customHeight="1" spans="14:44"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</row>
    <row r="173" customHeight="1" spans="14:44"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</row>
    <row r="174" customHeight="1" spans="14:44"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</row>
    <row r="175" customHeight="1" spans="14:44"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</row>
    <row r="176" customHeight="1" spans="14:44"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</row>
    <row r="177" customHeight="1" spans="14:44"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</row>
    <row r="178" customHeight="1" spans="14:44"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</row>
    <row r="179" customHeight="1" spans="14:44"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</row>
    <row r="180" customHeight="1" spans="14:44"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</row>
    <row r="181" customHeight="1" spans="14:44"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</row>
    <row r="182" customHeight="1" spans="14:44"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</row>
    <row r="183" customHeight="1" spans="14:44"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</row>
    <row r="184" customHeight="1" spans="14:44"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</row>
    <row r="185" customHeight="1" spans="14:44"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</row>
    <row r="186" customHeight="1" spans="14:44"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</row>
    <row r="187" customHeight="1" spans="14:44"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</row>
    <row r="188" customHeight="1" spans="14:44"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</row>
    <row r="189" customHeight="1" spans="14:44"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</row>
    <row r="190" customHeight="1" spans="14:44"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</row>
    <row r="191" customHeight="1" spans="14:44"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</row>
    <row r="192" customHeight="1" spans="14:44"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</row>
    <row r="193" customHeight="1" spans="14:44"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</row>
    <row r="194" customHeight="1" spans="14:44"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</row>
    <row r="195" customHeight="1" spans="14:44"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</row>
    <row r="196" customHeight="1" spans="14:44"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</row>
    <row r="197" customHeight="1" spans="14:44"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</row>
    <row r="198" customHeight="1" spans="14:44"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</row>
    <row r="199" customHeight="1" spans="14:44"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</row>
    <row r="200" customHeight="1" spans="14:44"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</row>
    <row r="201" customHeight="1" spans="14:44"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</row>
    <row r="202" customHeight="1" spans="14:44"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</row>
    <row r="203" customHeight="1" spans="14:44"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</row>
    <row r="204" customHeight="1" spans="14:44"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</row>
    <row r="205" customHeight="1" spans="14:44"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</row>
    <row r="206" customHeight="1" spans="14:44"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</row>
    <row r="207" customHeight="1" spans="14:44"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</row>
    <row r="208" customHeight="1" spans="14:44"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</row>
    <row r="209" customHeight="1" spans="14:44"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</row>
    <row r="210" customHeight="1" spans="14:44"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</row>
    <row r="211" customHeight="1" spans="14:44"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</row>
    <row r="212" customHeight="1" spans="14:44"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</row>
    <row r="213" customHeight="1" spans="14:44"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</row>
    <row r="214" customHeight="1" spans="14:44"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</row>
    <row r="215" customHeight="1" spans="14:44"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</row>
    <row r="216" customHeight="1" spans="14:44"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</row>
    <row r="217" customHeight="1" spans="14:44"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</row>
    <row r="218" customHeight="1" spans="14:44"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</row>
    <row r="219" customHeight="1" spans="14:44"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</row>
    <row r="220" customHeight="1" spans="14:44"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</row>
    <row r="221" customHeight="1" spans="14:44"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</row>
    <row r="222" customHeight="1" spans="14:44"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</row>
    <row r="223" customHeight="1" spans="14:44"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</row>
    <row r="224" customHeight="1" spans="14:44"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</row>
    <row r="225" customHeight="1" spans="14:44"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</row>
    <row r="226" customHeight="1" spans="14:44"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</row>
    <row r="227" customHeight="1" spans="14:44"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</row>
    <row r="228" customHeight="1" spans="14:44"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</row>
    <row r="229" customHeight="1" spans="14:44"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</row>
    <row r="230" customHeight="1" spans="14:44"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</row>
    <row r="231" customHeight="1" spans="14:44"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</row>
    <row r="232" customHeight="1" spans="14:44"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</row>
    <row r="233" customHeight="1" spans="14:44"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</row>
    <row r="234" customHeight="1" spans="14:44"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</row>
    <row r="235" customHeight="1" spans="14:44"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</row>
  </sheetData>
  <conditionalFormatting sqref="J6">
    <cfRule type="iconSet" priority="2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F9">
    <cfRule type="iconSet" priority="3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85">
    <cfRule type="iconSet" priority="36">
      <iconSet iconSet="3Arrows">
        <cfvo type="percent" val="0"/>
        <cfvo type="percent" val="33"/>
        <cfvo type="percent" val="67"/>
      </iconSet>
    </cfRule>
  </conditionalFormatting>
  <conditionalFormatting sqref="C2:C117">
    <cfRule type="iconSet" priority="6">
      <iconSet iconSet="3Signs">
        <cfvo type="percent" val="0"/>
        <cfvo type="num" val="0"/>
        <cfvo type="num" val="1"/>
      </iconSet>
    </cfRule>
  </conditionalFormatting>
  <conditionalFormatting sqref="K2:K117">
    <cfRule type="cellIs" dxfId="31" priority="28" operator="equal">
      <formula>$K$12</formula>
    </cfRule>
    <cfRule type="cellIs" dxfId="32" priority="29" operator="equal">
      <formula>$K$8</formula>
    </cfRule>
    <cfRule type="cellIs" dxfId="33" priority="30" operator="equal">
      <formula>"USA"</formula>
    </cfRule>
    <cfRule type="cellIs" dxfId="34" priority="31" operator="equal">
      <formula>$G$113</formula>
    </cfRule>
    <cfRule type="cellIs" dxfId="34" priority="32" operator="equal">
      <formula>"USA"</formula>
    </cfRule>
    <cfRule type="iconSet" priority="39">
      <iconSet iconSet="3TrafficLights2">
        <cfvo type="percent" val="0"/>
        <cfvo type="percent" val="33"/>
        <cfvo type="percent" val="67"/>
      </iconSet>
    </cfRule>
  </conditionalFormatting>
  <conditionalFormatting sqref="K2:K3">
    <cfRule type="expression" dxfId="35" priority="55">
      <formula>#REF!=$AJ1048570</formula>
    </cfRule>
  </conditionalFormatting>
  <conditionalFormatting sqref="AP2:AP117">
    <cfRule type="expression" dxfId="1" priority="24">
      <formula>O3&gt;=700</formula>
    </cfRule>
    <cfRule type="expression" dxfId="36" priority="25">
      <formula>AND(O3&gt;=400,O3&lt;=700)</formula>
    </cfRule>
    <cfRule type="expression" dxfId="37" priority="26">
      <formula>O3&lt;400</formula>
    </cfRule>
    <cfRule type="expression" dxfId="38" priority="27">
      <formula>AP3</formula>
    </cfRule>
  </conditionalFormatting>
  <conditionalFormatting sqref="K2:K120 K122:K1048576">
    <cfRule type="iconSet" priority="38">
      <iconSet iconSet="3TrafficLights1">
        <cfvo type="percent" val="0"/>
        <cfvo type="percent" val="33"/>
        <cfvo type="percent" val="67"/>
      </iconSet>
    </cfRule>
  </conditionalFormatting>
  <conditionalFormatting sqref="N135:AG235 K4:K8 J9:K10">
    <cfRule type="expression" dxfId="35" priority="54">
      <formula>#REF!=#REF!</formula>
    </cfRule>
  </conditionalFormatting>
  <conditionalFormatting sqref="J11:K117">
    <cfRule type="expression" dxfId="35" priority="56">
      <formula>#REF!=$AJ4</formula>
    </cfRule>
  </conditionalFormatting>
  <conditionalFormatting sqref="N119:BA120 N122:BA123 AG121:BA121">
    <cfRule type="expression" dxfId="35" priority="45">
      <formula>#REF!=$AJ113</formula>
    </cfRule>
  </conditionalFormatting>
  <pageMargins left="0.7" right="0.7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57</xdr:col>
                    <xdr:colOff>182880</xdr:colOff>
                    <xdr:row>8</xdr:row>
                    <xdr:rowOff>30480</xdr:rowOff>
                  </from>
                  <to>
                    <xdr:col>57</xdr:col>
                    <xdr:colOff>1470660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5">
              <controlPr print="0" defaultSize="0">
                <anchor moveWithCells="1">
                  <from>
                    <xdr:col>60</xdr:col>
                    <xdr:colOff>175260</xdr:colOff>
                    <xdr:row>16</xdr:row>
                    <xdr:rowOff>121920</xdr:rowOff>
                  </from>
                  <to>
                    <xdr:col>60</xdr:col>
                    <xdr:colOff>1280160</xdr:colOff>
                    <xdr:row>18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cc66365a-a699-4c01-91d0-4ef444e937c6}">
            <xm:f>NOT(ISERROR(SEARCH($C2,C9)))</xm:f>
            <xm:f>$C2</xm:f>
            <x14:dxf>
              <numFmt numFmtId="49" formatCode="@"/>
            </x14:dxf>
          </x14:cfRule>
          <xm:sqref>C9</xm:sqref>
        </x14:conditionalFormatting>
        <x14:conditionalFormatting xmlns:xm="http://schemas.microsoft.com/office/excel/2006/main">
          <x14:cfRule type="iconSet" priority="1" id="{6a9a9c11-ff2a-4983-951b-23c12eb68d8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C$1:C$1048576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TABLE2!D3:D3</xm:f>
              <xm:sqref>C2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17"/>
  <sheetViews>
    <sheetView workbookViewId="0">
      <selection activeCell="M109" sqref="M109"/>
    </sheetView>
  </sheetViews>
  <sheetFormatPr defaultColWidth="9" defaultRowHeight="13.2" outlineLevelCol="1"/>
  <cols>
    <col min="1" max="1" width="14.4444444444444"/>
    <col min="2" max="2" width="15.3333333333333" customWidth="1"/>
  </cols>
  <sheetData>
    <row r="1" spans="1:2">
      <c r="A1" s="10" t="s">
        <v>4</v>
      </c>
      <c r="B1" s="3" t="s">
        <v>5</v>
      </c>
    </row>
    <row r="2" spans="1:2">
      <c r="A2" s="11" t="s">
        <v>55</v>
      </c>
      <c r="B2" s="5" t="s">
        <v>56</v>
      </c>
    </row>
    <row r="3" spans="1:2">
      <c r="A3" s="11" t="s">
        <v>55</v>
      </c>
      <c r="B3" s="5" t="s">
        <v>56</v>
      </c>
    </row>
    <row r="4" spans="1:2">
      <c r="A4" s="11" t="s">
        <v>74</v>
      </c>
      <c r="B4" s="5" t="s">
        <v>75</v>
      </c>
    </row>
    <row r="5" spans="1:2">
      <c r="A5" s="11" t="s">
        <v>74</v>
      </c>
      <c r="B5" s="5" t="s">
        <v>75</v>
      </c>
    </row>
    <row r="6" spans="1:2">
      <c r="A6" s="11" t="s">
        <v>88</v>
      </c>
      <c r="B6" s="5" t="s">
        <v>56</v>
      </c>
    </row>
    <row r="7" spans="1:2">
      <c r="A7" s="11" t="s">
        <v>88</v>
      </c>
      <c r="B7" s="5" t="s">
        <v>56</v>
      </c>
    </row>
    <row r="8" spans="1:2">
      <c r="A8" s="11" t="s">
        <v>55</v>
      </c>
      <c r="B8" s="5" t="s">
        <v>56</v>
      </c>
    </row>
    <row r="9" spans="1:2">
      <c r="A9" s="11" t="s">
        <v>55</v>
      </c>
      <c r="B9" s="5" t="s">
        <v>56</v>
      </c>
    </row>
    <row r="10" spans="1:2">
      <c r="A10" s="11" t="s">
        <v>74</v>
      </c>
      <c r="B10" s="5" t="s">
        <v>75</v>
      </c>
    </row>
    <row r="11" spans="1:2">
      <c r="A11" s="11" t="s">
        <v>74</v>
      </c>
      <c r="B11" s="5" t="s">
        <v>75</v>
      </c>
    </row>
    <row r="12" spans="1:2">
      <c r="A12" s="11" t="s">
        <v>110</v>
      </c>
      <c r="B12" s="5" t="s">
        <v>111</v>
      </c>
    </row>
    <row r="13" spans="1:2">
      <c r="A13" s="11" t="s">
        <v>110</v>
      </c>
      <c r="B13" s="5" t="s">
        <v>111</v>
      </c>
    </row>
    <row r="14" spans="1:2">
      <c r="A14" s="11" t="s">
        <v>74</v>
      </c>
      <c r="B14" s="5" t="s">
        <v>75</v>
      </c>
    </row>
    <row r="15" spans="1:2">
      <c r="A15" s="11" t="s">
        <v>74</v>
      </c>
      <c r="B15" s="5" t="s">
        <v>75</v>
      </c>
    </row>
    <row r="16" spans="1:2">
      <c r="A16" s="11" t="s">
        <v>88</v>
      </c>
      <c r="B16" s="5" t="s">
        <v>56</v>
      </c>
    </row>
    <row r="17" spans="1:2">
      <c r="A17" s="11" t="s">
        <v>88</v>
      </c>
      <c r="B17" s="5" t="s">
        <v>56</v>
      </c>
    </row>
    <row r="18" spans="1:2">
      <c r="A18" s="11" t="s">
        <v>124</v>
      </c>
      <c r="B18" s="5" t="s">
        <v>75</v>
      </c>
    </row>
    <row r="19" spans="1:2">
      <c r="A19" s="11" t="s">
        <v>124</v>
      </c>
      <c r="B19" s="5" t="s">
        <v>75</v>
      </c>
    </row>
    <row r="20" spans="1:2">
      <c r="A20" s="11" t="s">
        <v>74</v>
      </c>
      <c r="B20" s="5" t="s">
        <v>75</v>
      </c>
    </row>
    <row r="21" spans="1:2">
      <c r="A21" s="11" t="s">
        <v>74</v>
      </c>
      <c r="B21" s="5" t="s">
        <v>75</v>
      </c>
    </row>
    <row r="22" spans="1:2">
      <c r="A22" s="11" t="s">
        <v>110</v>
      </c>
      <c r="B22" s="5" t="s">
        <v>111</v>
      </c>
    </row>
    <row r="23" spans="1:2">
      <c r="A23" s="11" t="s">
        <v>110</v>
      </c>
      <c r="B23" s="5" t="s">
        <v>111</v>
      </c>
    </row>
    <row r="24" spans="1:2">
      <c r="A24" s="11" t="s">
        <v>55</v>
      </c>
      <c r="B24" s="5" t="s">
        <v>56</v>
      </c>
    </row>
    <row r="25" spans="1:2">
      <c r="A25" s="11" t="s">
        <v>55</v>
      </c>
      <c r="B25" s="5" t="s">
        <v>56</v>
      </c>
    </row>
    <row r="26" spans="1:2">
      <c r="A26" s="11" t="s">
        <v>124</v>
      </c>
      <c r="B26" s="5" t="s">
        <v>75</v>
      </c>
    </row>
    <row r="27" spans="1:2">
      <c r="A27" s="11" t="s">
        <v>124</v>
      </c>
      <c r="B27" s="5" t="s">
        <v>75</v>
      </c>
    </row>
    <row r="28" spans="1:2">
      <c r="A28" s="11" t="s">
        <v>125</v>
      </c>
      <c r="B28" s="5" t="s">
        <v>111</v>
      </c>
    </row>
    <row r="29" spans="1:2">
      <c r="A29" s="11" t="s">
        <v>125</v>
      </c>
      <c r="B29" s="5" t="s">
        <v>111</v>
      </c>
    </row>
    <row r="30" spans="1:2">
      <c r="A30" s="11" t="s">
        <v>55</v>
      </c>
      <c r="B30" s="5" t="s">
        <v>56</v>
      </c>
    </row>
    <row r="31" spans="1:2">
      <c r="A31" s="11" t="s">
        <v>55</v>
      </c>
      <c r="B31" s="5" t="s">
        <v>56</v>
      </c>
    </row>
    <row r="32" spans="1:2">
      <c r="A32" s="11" t="s">
        <v>88</v>
      </c>
      <c r="B32" s="5" t="s">
        <v>56</v>
      </c>
    </row>
    <row r="33" spans="1:2">
      <c r="A33" s="11" t="s">
        <v>88</v>
      </c>
      <c r="B33" s="5" t="s">
        <v>56</v>
      </c>
    </row>
    <row r="34" spans="1:2">
      <c r="A34" s="11" t="s">
        <v>124</v>
      </c>
      <c r="B34" s="5" t="s">
        <v>75</v>
      </c>
    </row>
    <row r="35" spans="1:2">
      <c r="A35" s="11" t="s">
        <v>124</v>
      </c>
      <c r="B35" s="5" t="s">
        <v>75</v>
      </c>
    </row>
    <row r="36" spans="1:2">
      <c r="A36" s="11" t="s">
        <v>125</v>
      </c>
      <c r="B36" s="5" t="s">
        <v>111</v>
      </c>
    </row>
    <row r="37" spans="1:2">
      <c r="A37" s="11" t="s">
        <v>125</v>
      </c>
      <c r="B37" s="5" t="s">
        <v>111</v>
      </c>
    </row>
    <row r="38" spans="1:2">
      <c r="A38" s="11" t="s">
        <v>88</v>
      </c>
      <c r="B38" s="5" t="s">
        <v>56</v>
      </c>
    </row>
    <row r="39" spans="1:2">
      <c r="A39" s="11" t="s">
        <v>88</v>
      </c>
      <c r="B39" s="5" t="s">
        <v>56</v>
      </c>
    </row>
    <row r="40" spans="1:2">
      <c r="A40" s="11" t="s">
        <v>124</v>
      </c>
      <c r="B40" s="5" t="s">
        <v>75</v>
      </c>
    </row>
    <row r="41" spans="1:2">
      <c r="A41" s="11" t="s">
        <v>124</v>
      </c>
      <c r="B41" s="5" t="s">
        <v>75</v>
      </c>
    </row>
    <row r="42" spans="1:2">
      <c r="A42" s="11" t="s">
        <v>125</v>
      </c>
      <c r="B42" s="5" t="s">
        <v>111</v>
      </c>
    </row>
    <row r="43" spans="1:2">
      <c r="A43" s="11" t="s">
        <v>125</v>
      </c>
      <c r="B43" s="5" t="s">
        <v>111</v>
      </c>
    </row>
    <row r="44" spans="1:2">
      <c r="A44" s="11" t="s">
        <v>124</v>
      </c>
      <c r="B44" s="5" t="s">
        <v>75</v>
      </c>
    </row>
    <row r="45" spans="1:2">
      <c r="A45" s="11" t="s">
        <v>124</v>
      </c>
      <c r="B45" s="5" t="s">
        <v>75</v>
      </c>
    </row>
    <row r="46" spans="1:2">
      <c r="A46" s="11" t="s">
        <v>88</v>
      </c>
      <c r="B46" s="5" t="s">
        <v>56</v>
      </c>
    </row>
    <row r="47" spans="1:2">
      <c r="A47" s="11" t="s">
        <v>88</v>
      </c>
      <c r="B47" s="5" t="s">
        <v>56</v>
      </c>
    </row>
    <row r="48" spans="1:2">
      <c r="A48" s="11" t="s">
        <v>110</v>
      </c>
      <c r="B48" s="5" t="s">
        <v>111</v>
      </c>
    </row>
    <row r="49" spans="1:2">
      <c r="A49" s="11" t="s">
        <v>110</v>
      </c>
      <c r="B49" s="5" t="s">
        <v>111</v>
      </c>
    </row>
    <row r="50" spans="1:2">
      <c r="A50" s="11" t="s">
        <v>125</v>
      </c>
      <c r="B50" s="5" t="s">
        <v>111</v>
      </c>
    </row>
    <row r="51" spans="1:2">
      <c r="A51" s="11" t="s">
        <v>125</v>
      </c>
      <c r="B51" s="5" t="s">
        <v>111</v>
      </c>
    </row>
    <row r="52" spans="1:2">
      <c r="A52" s="11" t="s">
        <v>125</v>
      </c>
      <c r="B52" s="5" t="s">
        <v>111</v>
      </c>
    </row>
    <row r="53" spans="1:2">
      <c r="A53" s="11" t="s">
        <v>125</v>
      </c>
      <c r="B53" s="5" t="s">
        <v>111</v>
      </c>
    </row>
    <row r="54" spans="1:2">
      <c r="A54" s="11" t="s">
        <v>55</v>
      </c>
      <c r="B54" s="5" t="s">
        <v>56</v>
      </c>
    </row>
    <row r="55" spans="1:2">
      <c r="A55" s="11" t="s">
        <v>55</v>
      </c>
      <c r="B55" s="5" t="s">
        <v>56</v>
      </c>
    </row>
    <row r="56" spans="1:2">
      <c r="A56" s="11" t="s">
        <v>124</v>
      </c>
      <c r="B56" s="5" t="s">
        <v>75</v>
      </c>
    </row>
    <row r="57" spans="1:2">
      <c r="A57" s="11" t="s">
        <v>124</v>
      </c>
      <c r="B57" s="5" t="s">
        <v>75</v>
      </c>
    </row>
    <row r="58" spans="1:2">
      <c r="A58" s="11" t="s">
        <v>88</v>
      </c>
      <c r="B58" s="5" t="s">
        <v>56</v>
      </c>
    </row>
    <row r="59" spans="1:2">
      <c r="A59" s="11" t="s">
        <v>88</v>
      </c>
      <c r="B59" s="5" t="s">
        <v>56</v>
      </c>
    </row>
    <row r="60" spans="1:2">
      <c r="A60" s="11" t="s">
        <v>124</v>
      </c>
      <c r="B60" s="5" t="s">
        <v>75</v>
      </c>
    </row>
    <row r="61" spans="1:2">
      <c r="A61" s="11" t="s">
        <v>124</v>
      </c>
      <c r="B61" s="5" t="s">
        <v>75</v>
      </c>
    </row>
    <row r="62" spans="1:2">
      <c r="A62" s="11" t="s">
        <v>125</v>
      </c>
      <c r="B62" s="5" t="s">
        <v>111</v>
      </c>
    </row>
    <row r="63" spans="1:2">
      <c r="A63" s="11" t="s">
        <v>125</v>
      </c>
      <c r="B63" s="5" t="s">
        <v>111</v>
      </c>
    </row>
    <row r="64" spans="1:2">
      <c r="A64" s="11" t="s">
        <v>55</v>
      </c>
      <c r="B64" s="5" t="s">
        <v>56</v>
      </c>
    </row>
    <row r="65" spans="1:2">
      <c r="A65" s="11" t="s">
        <v>55</v>
      </c>
      <c r="B65" s="5" t="s">
        <v>56</v>
      </c>
    </row>
    <row r="66" spans="1:2">
      <c r="A66" s="11" t="s">
        <v>88</v>
      </c>
      <c r="B66" s="5" t="s">
        <v>56</v>
      </c>
    </row>
    <row r="67" spans="1:2">
      <c r="A67" s="11" t="s">
        <v>88</v>
      </c>
      <c r="B67" s="5" t="s">
        <v>56</v>
      </c>
    </row>
    <row r="68" spans="1:2">
      <c r="A68" s="11" t="s">
        <v>74</v>
      </c>
      <c r="B68" s="5" t="s">
        <v>75</v>
      </c>
    </row>
    <row r="69" spans="1:2">
      <c r="A69" s="11" t="s">
        <v>74</v>
      </c>
      <c r="B69" s="5" t="s">
        <v>75</v>
      </c>
    </row>
    <row r="70" spans="1:2">
      <c r="A70" s="11" t="s">
        <v>110</v>
      </c>
      <c r="B70" s="5" t="s">
        <v>111</v>
      </c>
    </row>
    <row r="71" spans="1:2">
      <c r="A71" s="11" t="s">
        <v>110</v>
      </c>
      <c r="B71" s="5" t="s">
        <v>111</v>
      </c>
    </row>
    <row r="72" spans="1:2">
      <c r="A72" s="11" t="s">
        <v>124</v>
      </c>
      <c r="B72" s="5" t="s">
        <v>75</v>
      </c>
    </row>
    <row r="73" spans="1:2">
      <c r="A73" s="11" t="s">
        <v>124</v>
      </c>
      <c r="B73" s="5" t="s">
        <v>75</v>
      </c>
    </row>
    <row r="74" spans="1:2">
      <c r="A74" s="11" t="s">
        <v>125</v>
      </c>
      <c r="B74" s="5" t="s">
        <v>111</v>
      </c>
    </row>
    <row r="75" spans="1:2">
      <c r="A75" s="11" t="s">
        <v>125</v>
      </c>
      <c r="B75" s="5" t="s">
        <v>111</v>
      </c>
    </row>
    <row r="76" spans="1:2">
      <c r="A76" s="11" t="s">
        <v>124</v>
      </c>
      <c r="B76" s="5" t="s">
        <v>75</v>
      </c>
    </row>
    <row r="77" spans="1:2">
      <c r="A77" s="11" t="s">
        <v>124</v>
      </c>
      <c r="B77" s="5" t="s">
        <v>75</v>
      </c>
    </row>
    <row r="78" spans="1:2">
      <c r="A78" s="11" t="s">
        <v>125</v>
      </c>
      <c r="B78" s="5" t="s">
        <v>111</v>
      </c>
    </row>
    <row r="79" spans="1:2">
      <c r="A79" s="11" t="s">
        <v>125</v>
      </c>
      <c r="B79" s="5" t="s">
        <v>111</v>
      </c>
    </row>
    <row r="80" spans="1:2">
      <c r="A80" s="11" t="s">
        <v>55</v>
      </c>
      <c r="B80" s="5" t="s">
        <v>56</v>
      </c>
    </row>
    <row r="81" spans="1:2">
      <c r="A81" s="11" t="s">
        <v>55</v>
      </c>
      <c r="B81" s="5" t="s">
        <v>56</v>
      </c>
    </row>
    <row r="82" spans="1:2">
      <c r="A82" s="11" t="s">
        <v>74</v>
      </c>
      <c r="B82" s="5" t="s">
        <v>75</v>
      </c>
    </row>
    <row r="83" spans="1:2">
      <c r="A83" s="11" t="s">
        <v>74</v>
      </c>
      <c r="B83" s="5" t="s">
        <v>75</v>
      </c>
    </row>
    <row r="84" spans="1:2">
      <c r="A84" s="11" t="s">
        <v>110</v>
      </c>
      <c r="B84" s="5" t="s">
        <v>111</v>
      </c>
    </row>
    <row r="85" spans="1:2">
      <c r="A85" s="11" t="s">
        <v>110</v>
      </c>
      <c r="B85" s="5" t="s">
        <v>111</v>
      </c>
    </row>
    <row r="86" spans="1:2">
      <c r="A86" s="11" t="s">
        <v>88</v>
      </c>
      <c r="B86" s="5" t="s">
        <v>56</v>
      </c>
    </row>
    <row r="87" spans="1:2">
      <c r="A87" s="11" t="s">
        <v>88</v>
      </c>
      <c r="B87" s="5" t="s">
        <v>56</v>
      </c>
    </row>
    <row r="88" spans="1:2">
      <c r="A88" s="11" t="s">
        <v>110</v>
      </c>
      <c r="B88" s="5" t="s">
        <v>111</v>
      </c>
    </row>
    <row r="89" spans="1:2">
      <c r="A89" s="11" t="s">
        <v>110</v>
      </c>
      <c r="B89" s="5" t="s">
        <v>111</v>
      </c>
    </row>
    <row r="90" spans="1:2">
      <c r="A90" s="11" t="s">
        <v>55</v>
      </c>
      <c r="B90" s="5" t="s">
        <v>56</v>
      </c>
    </row>
    <row r="91" spans="1:2">
      <c r="A91" s="11" t="s">
        <v>55</v>
      </c>
      <c r="B91" s="5" t="s">
        <v>56</v>
      </c>
    </row>
    <row r="92" spans="1:2">
      <c r="A92" s="11" t="s">
        <v>74</v>
      </c>
      <c r="B92" s="5" t="s">
        <v>75</v>
      </c>
    </row>
    <row r="93" spans="1:2">
      <c r="A93" s="11" t="s">
        <v>74</v>
      </c>
      <c r="B93" s="5" t="s">
        <v>75</v>
      </c>
    </row>
    <row r="94" spans="1:2">
      <c r="A94" s="11" t="s">
        <v>74</v>
      </c>
      <c r="B94" s="5" t="s">
        <v>75</v>
      </c>
    </row>
    <row r="95" spans="1:2">
      <c r="A95" s="11" t="s">
        <v>74</v>
      </c>
      <c r="B95" s="5" t="s">
        <v>75</v>
      </c>
    </row>
    <row r="96" spans="1:2">
      <c r="A96" s="11" t="s">
        <v>55</v>
      </c>
      <c r="B96" s="5" t="s">
        <v>56</v>
      </c>
    </row>
    <row r="97" spans="1:2">
      <c r="A97" s="11" t="s">
        <v>55</v>
      </c>
      <c r="B97" s="5" t="s">
        <v>56</v>
      </c>
    </row>
    <row r="98" spans="1:2">
      <c r="A98" s="11" t="s">
        <v>88</v>
      </c>
      <c r="B98" s="5" t="s">
        <v>56</v>
      </c>
    </row>
    <row r="99" spans="1:2">
      <c r="A99" s="11" t="s">
        <v>88</v>
      </c>
      <c r="B99" s="5" t="s">
        <v>56</v>
      </c>
    </row>
    <row r="100" spans="1:2">
      <c r="A100" s="11" t="s">
        <v>55</v>
      </c>
      <c r="B100" s="5" t="s">
        <v>56</v>
      </c>
    </row>
    <row r="101" spans="1:2">
      <c r="A101" s="11" t="s">
        <v>55</v>
      </c>
      <c r="B101" s="5" t="s">
        <v>56</v>
      </c>
    </row>
    <row r="102" spans="1:2">
      <c r="A102" s="11" t="s">
        <v>110</v>
      </c>
      <c r="B102" s="5" t="s">
        <v>111</v>
      </c>
    </row>
    <row r="103" spans="1:2">
      <c r="A103" s="11" t="s">
        <v>110</v>
      </c>
      <c r="B103" s="5" t="s">
        <v>111</v>
      </c>
    </row>
    <row r="104" spans="1:2">
      <c r="A104" s="11" t="s">
        <v>125</v>
      </c>
      <c r="B104" s="5" t="s">
        <v>111</v>
      </c>
    </row>
    <row r="105" spans="1:2">
      <c r="A105" s="11" t="s">
        <v>125</v>
      </c>
      <c r="B105" s="5" t="s">
        <v>111</v>
      </c>
    </row>
    <row r="106" spans="1:2">
      <c r="A106" s="11" t="s">
        <v>74</v>
      </c>
      <c r="B106" s="5" t="s">
        <v>75</v>
      </c>
    </row>
    <row r="107" spans="1:2">
      <c r="A107" s="11" t="s">
        <v>74</v>
      </c>
      <c r="B107" s="5" t="s">
        <v>75</v>
      </c>
    </row>
    <row r="108" spans="1:2">
      <c r="A108" s="11" t="s">
        <v>124</v>
      </c>
      <c r="B108" s="5" t="s">
        <v>75</v>
      </c>
    </row>
    <row r="109" spans="1:2">
      <c r="A109" s="11" t="s">
        <v>124</v>
      </c>
      <c r="B109" s="5" t="s">
        <v>75</v>
      </c>
    </row>
    <row r="110" spans="1:2">
      <c r="A110" s="11" t="s">
        <v>74</v>
      </c>
      <c r="B110" s="5" t="s">
        <v>75</v>
      </c>
    </row>
    <row r="111" spans="1:2">
      <c r="A111" s="11" t="s">
        <v>74</v>
      </c>
      <c r="B111" s="5" t="s">
        <v>75</v>
      </c>
    </row>
    <row r="112" spans="1:2">
      <c r="A112" s="11" t="s">
        <v>88</v>
      </c>
      <c r="B112" s="5" t="s">
        <v>56</v>
      </c>
    </row>
    <row r="113" spans="1:2">
      <c r="A113" s="11" t="s">
        <v>88</v>
      </c>
      <c r="B113" s="5" t="s">
        <v>56</v>
      </c>
    </row>
    <row r="114" spans="1:2">
      <c r="A114" s="11" t="s">
        <v>110</v>
      </c>
      <c r="B114" s="5" t="s">
        <v>111</v>
      </c>
    </row>
    <row r="115" spans="1:2">
      <c r="A115" s="11" t="s">
        <v>110</v>
      </c>
      <c r="B115" s="5" t="s">
        <v>111</v>
      </c>
    </row>
    <row r="116" spans="1:2">
      <c r="A116" s="11" t="s">
        <v>125</v>
      </c>
      <c r="B116" s="5" t="s">
        <v>111</v>
      </c>
    </row>
    <row r="117" spans="1:2">
      <c r="A117" s="11" t="s">
        <v>125</v>
      </c>
      <c r="B117" s="7" t="s">
        <v>111</v>
      </c>
    </row>
  </sheetData>
  <pageMargins left="0.7" right="0.7" top="0.75" bottom="0.75" header="0.3" footer="0.3"/>
  <headerFooter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Sheet1!C3:C3</xm:f>
              <xm:sqref>B2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26"/>
  <sheetViews>
    <sheetView workbookViewId="0">
      <selection activeCell="B30" sqref="B30"/>
    </sheetView>
  </sheetViews>
  <sheetFormatPr defaultColWidth="9" defaultRowHeight="13.2"/>
  <cols>
    <col min="1" max="1" width="21.8888888888889" customWidth="1"/>
    <col min="2" max="2" width="47.2222222222222" customWidth="1"/>
    <col min="3" max="4" width="15" customWidth="1"/>
    <col min="5" max="6" width="10.7777777777778" customWidth="1"/>
    <col min="7" max="7" width="8" customWidth="1"/>
    <col min="8" max="8" width="14.4444444444444" customWidth="1"/>
    <col min="9" max="9" width="15.5555555555556" customWidth="1"/>
    <col min="10" max="10" width="25.4444444444444" customWidth="1"/>
    <col min="11" max="11" width="14.2222222222222" customWidth="1"/>
  </cols>
  <sheetData>
    <row r="1" spans="1:11">
      <c r="A1" t="s">
        <v>208</v>
      </c>
      <c r="B1" t="s">
        <v>209</v>
      </c>
      <c r="C1" t="s">
        <v>210</v>
      </c>
      <c r="D1" s="2" t="s">
        <v>211</v>
      </c>
      <c r="E1" t="s">
        <v>212</v>
      </c>
      <c r="F1" t="s">
        <v>213</v>
      </c>
      <c r="G1" t="s">
        <v>214</v>
      </c>
      <c r="H1" t="s">
        <v>215</v>
      </c>
      <c r="I1" t="s">
        <v>216</v>
      </c>
      <c r="J1" t="s">
        <v>217</v>
      </c>
      <c r="K1" t="s">
        <v>218</v>
      </c>
    </row>
    <row r="2" spans="1:11">
      <c r="A2" s="9">
        <v>45076</v>
      </c>
      <c r="B2" t="s">
        <v>219</v>
      </c>
      <c r="C2" t="s">
        <v>220</v>
      </c>
      <c r="D2" t="s">
        <v>221</v>
      </c>
      <c r="E2" t="s">
        <v>222</v>
      </c>
      <c r="F2">
        <v>4500</v>
      </c>
      <c r="G2">
        <v>598</v>
      </c>
      <c r="H2">
        <v>0.132888888888889</v>
      </c>
      <c r="I2" t="s">
        <v>223</v>
      </c>
      <c r="J2" t="s">
        <v>224</v>
      </c>
      <c r="K2" t="s">
        <v>225</v>
      </c>
    </row>
    <row r="3" spans="1:11">
      <c r="A3" s="9">
        <v>45076</v>
      </c>
      <c r="B3" t="s">
        <v>226</v>
      </c>
      <c r="C3" t="s">
        <v>227</v>
      </c>
      <c r="D3" t="s">
        <v>158</v>
      </c>
      <c r="E3" t="s">
        <v>228</v>
      </c>
      <c r="F3">
        <v>3800</v>
      </c>
      <c r="G3">
        <v>1045</v>
      </c>
      <c r="H3">
        <v>0.275</v>
      </c>
      <c r="I3" t="s">
        <v>229</v>
      </c>
      <c r="J3" t="s">
        <v>230</v>
      </c>
      <c r="K3" t="s">
        <v>214</v>
      </c>
    </row>
    <row r="4" spans="1:11">
      <c r="A4" s="9">
        <v>45076</v>
      </c>
      <c r="B4" t="s">
        <v>231</v>
      </c>
      <c r="C4" t="s">
        <v>232</v>
      </c>
      <c r="D4" t="s">
        <v>233</v>
      </c>
      <c r="E4" t="s">
        <v>234</v>
      </c>
      <c r="F4">
        <v>5000</v>
      </c>
      <c r="G4">
        <v>684</v>
      </c>
      <c r="H4">
        <v>0.1368</v>
      </c>
      <c r="I4" t="s">
        <v>235</v>
      </c>
      <c r="J4" t="s">
        <v>236</v>
      </c>
      <c r="K4" t="s">
        <v>225</v>
      </c>
    </row>
    <row r="5" spans="1:11">
      <c r="A5" s="9">
        <v>45077</v>
      </c>
      <c r="B5" t="s">
        <v>237</v>
      </c>
      <c r="C5" t="s">
        <v>220</v>
      </c>
      <c r="D5" t="s">
        <v>221</v>
      </c>
      <c r="E5" t="s">
        <v>222</v>
      </c>
      <c r="F5">
        <v>6100</v>
      </c>
      <c r="G5">
        <v>544</v>
      </c>
      <c r="H5">
        <v>0.0891803278688525</v>
      </c>
      <c r="I5" t="s">
        <v>238</v>
      </c>
      <c r="J5" t="s">
        <v>239</v>
      </c>
      <c r="K5" t="s">
        <v>225</v>
      </c>
    </row>
    <row r="6" spans="1:11">
      <c r="A6" s="9">
        <v>45077</v>
      </c>
      <c r="B6" t="s">
        <v>240</v>
      </c>
      <c r="C6" t="s">
        <v>220</v>
      </c>
      <c r="D6" t="s">
        <v>221</v>
      </c>
      <c r="E6" t="s">
        <v>222</v>
      </c>
      <c r="F6">
        <v>4625</v>
      </c>
      <c r="G6">
        <v>670</v>
      </c>
      <c r="H6">
        <v>0.144864864864865</v>
      </c>
      <c r="I6" t="s">
        <v>241</v>
      </c>
      <c r="J6" t="s">
        <v>242</v>
      </c>
      <c r="K6" t="s">
        <v>225</v>
      </c>
    </row>
    <row r="7" spans="1:11">
      <c r="A7" s="9">
        <v>45077</v>
      </c>
      <c r="B7" t="s">
        <v>243</v>
      </c>
      <c r="C7" t="s">
        <v>220</v>
      </c>
      <c r="D7" t="s">
        <v>221</v>
      </c>
      <c r="E7" t="s">
        <v>222</v>
      </c>
      <c r="F7">
        <v>3800</v>
      </c>
      <c r="G7">
        <v>2045</v>
      </c>
      <c r="H7">
        <v>0.538157894736842</v>
      </c>
      <c r="I7" t="s">
        <v>244</v>
      </c>
      <c r="J7" t="s">
        <v>245</v>
      </c>
      <c r="K7" t="s">
        <v>214</v>
      </c>
    </row>
    <row r="8" spans="1:11">
      <c r="A8" s="9">
        <v>45077</v>
      </c>
      <c r="B8" t="s">
        <v>246</v>
      </c>
      <c r="C8" t="s">
        <v>220</v>
      </c>
      <c r="D8" t="s">
        <v>221</v>
      </c>
      <c r="E8" t="s">
        <v>247</v>
      </c>
      <c r="F8">
        <v>3600</v>
      </c>
      <c r="G8">
        <v>1564</v>
      </c>
      <c r="H8">
        <v>0.434444444444444</v>
      </c>
      <c r="I8" t="s">
        <v>248</v>
      </c>
      <c r="J8" t="s">
        <v>249</v>
      </c>
      <c r="K8" t="s">
        <v>214</v>
      </c>
    </row>
    <row r="9" spans="1:11">
      <c r="A9" s="9">
        <v>45077</v>
      </c>
      <c r="B9" t="s">
        <v>250</v>
      </c>
      <c r="C9" t="s">
        <v>220</v>
      </c>
      <c r="D9" t="s">
        <v>221</v>
      </c>
      <c r="E9" t="s">
        <v>234</v>
      </c>
      <c r="F9">
        <v>5100</v>
      </c>
      <c r="G9">
        <v>1220</v>
      </c>
      <c r="H9">
        <v>0.23921568627451</v>
      </c>
      <c r="I9" t="s">
        <v>251</v>
      </c>
      <c r="J9" t="s">
        <v>252</v>
      </c>
      <c r="K9" t="s">
        <v>214</v>
      </c>
    </row>
    <row r="10" spans="1:11">
      <c r="A10" s="9">
        <v>45077</v>
      </c>
      <c r="B10" t="s">
        <v>253</v>
      </c>
      <c r="C10" t="s">
        <v>220</v>
      </c>
      <c r="D10" t="s">
        <v>221</v>
      </c>
      <c r="E10" t="s">
        <v>234</v>
      </c>
      <c r="F10">
        <v>4750</v>
      </c>
      <c r="G10">
        <v>1435</v>
      </c>
      <c r="H10">
        <v>0.302105263157895</v>
      </c>
      <c r="I10" t="s">
        <v>254</v>
      </c>
      <c r="J10" t="s">
        <v>255</v>
      </c>
      <c r="K10" t="s">
        <v>214</v>
      </c>
    </row>
    <row r="11" spans="1:11">
      <c r="A11" s="9">
        <v>45077</v>
      </c>
      <c r="B11" t="s">
        <v>256</v>
      </c>
      <c r="C11" t="s">
        <v>232</v>
      </c>
      <c r="D11" t="s">
        <v>233</v>
      </c>
      <c r="E11" t="s">
        <v>222</v>
      </c>
      <c r="F11">
        <v>6000</v>
      </c>
      <c r="G11">
        <v>998</v>
      </c>
      <c r="H11">
        <v>0.166333333333333</v>
      </c>
      <c r="I11" t="s">
        <v>257</v>
      </c>
      <c r="J11" t="s">
        <v>258</v>
      </c>
      <c r="K11" t="s">
        <v>259</v>
      </c>
    </row>
    <row r="12" spans="1:11">
      <c r="A12" s="9">
        <v>45077</v>
      </c>
      <c r="B12" t="s">
        <v>260</v>
      </c>
      <c r="C12" t="s">
        <v>261</v>
      </c>
      <c r="D12" t="s">
        <v>262</v>
      </c>
      <c r="E12" t="s">
        <v>234</v>
      </c>
      <c r="F12">
        <v>4500</v>
      </c>
      <c r="G12">
        <v>780</v>
      </c>
      <c r="H12">
        <v>0.173333333333333</v>
      </c>
      <c r="I12" t="s">
        <v>263</v>
      </c>
      <c r="J12" t="s">
        <v>264</v>
      </c>
      <c r="K12" t="s">
        <v>259</v>
      </c>
    </row>
    <row r="13" spans="1:11">
      <c r="A13" s="9">
        <v>45078</v>
      </c>
      <c r="B13" t="s">
        <v>265</v>
      </c>
      <c r="C13" t="s">
        <v>261</v>
      </c>
      <c r="D13" t="s">
        <v>262</v>
      </c>
      <c r="E13" t="s">
        <v>222</v>
      </c>
      <c r="F13">
        <v>3712.5</v>
      </c>
      <c r="G13">
        <v>1222</v>
      </c>
      <c r="H13">
        <v>0.329158249158249</v>
      </c>
      <c r="I13" t="s">
        <v>266</v>
      </c>
      <c r="J13" t="s">
        <v>267</v>
      </c>
      <c r="K13" t="s">
        <v>214</v>
      </c>
    </row>
    <row r="14" spans="1:11">
      <c r="A14" s="9">
        <v>45078</v>
      </c>
      <c r="B14" t="s">
        <v>268</v>
      </c>
      <c r="C14" t="s">
        <v>261</v>
      </c>
      <c r="D14" t="s">
        <v>262</v>
      </c>
      <c r="E14" t="s">
        <v>222</v>
      </c>
      <c r="F14">
        <v>4950</v>
      </c>
      <c r="G14">
        <v>1065</v>
      </c>
      <c r="H14">
        <v>0.215151515151515</v>
      </c>
      <c r="I14" t="s">
        <v>269</v>
      </c>
      <c r="J14" t="s">
        <v>270</v>
      </c>
      <c r="K14" t="s">
        <v>214</v>
      </c>
    </row>
    <row r="15" spans="1:11">
      <c r="A15" s="9">
        <v>45078</v>
      </c>
      <c r="B15" t="s">
        <v>271</v>
      </c>
      <c r="C15" t="s">
        <v>232</v>
      </c>
      <c r="D15" t="s">
        <v>233</v>
      </c>
      <c r="E15" t="s">
        <v>222</v>
      </c>
      <c r="F15">
        <v>4750</v>
      </c>
      <c r="G15">
        <v>810</v>
      </c>
      <c r="H15">
        <v>0.170526315789474</v>
      </c>
      <c r="I15" t="s">
        <v>272</v>
      </c>
      <c r="J15" t="s">
        <v>273</v>
      </c>
      <c r="K15" t="s">
        <v>259</v>
      </c>
    </row>
    <row r="16" spans="1:11">
      <c r="A16" s="9">
        <v>45078</v>
      </c>
      <c r="B16" t="s">
        <v>274</v>
      </c>
      <c r="C16" t="s">
        <v>232</v>
      </c>
      <c r="D16" t="s">
        <v>233</v>
      </c>
      <c r="E16" t="s">
        <v>222</v>
      </c>
      <c r="F16">
        <v>7320</v>
      </c>
      <c r="G16">
        <v>933</v>
      </c>
      <c r="H16">
        <v>0.127459016393443</v>
      </c>
      <c r="I16" t="s">
        <v>275</v>
      </c>
      <c r="J16" t="s">
        <v>276</v>
      </c>
      <c r="K16" t="s">
        <v>259</v>
      </c>
    </row>
    <row r="17" spans="1:11">
      <c r="A17" s="9">
        <v>45078</v>
      </c>
      <c r="B17" t="s">
        <v>277</v>
      </c>
      <c r="C17" t="s">
        <v>261</v>
      </c>
      <c r="D17" t="s">
        <v>262</v>
      </c>
      <c r="E17" t="s">
        <v>222</v>
      </c>
      <c r="F17">
        <v>5087.5</v>
      </c>
      <c r="G17">
        <v>655</v>
      </c>
      <c r="H17">
        <v>0.128746928746929</v>
      </c>
      <c r="I17" t="s">
        <v>278</v>
      </c>
      <c r="J17" t="s">
        <v>279</v>
      </c>
      <c r="K17" t="s">
        <v>225</v>
      </c>
    </row>
    <row r="18" spans="1:11">
      <c r="A18" s="9">
        <v>45078</v>
      </c>
      <c r="B18" t="s">
        <v>280</v>
      </c>
      <c r="C18" t="s">
        <v>261</v>
      </c>
      <c r="D18" t="s">
        <v>262</v>
      </c>
      <c r="E18" t="s">
        <v>222</v>
      </c>
      <c r="F18">
        <v>4500</v>
      </c>
      <c r="G18">
        <v>722</v>
      </c>
      <c r="H18">
        <v>0.160444444444444</v>
      </c>
      <c r="I18" t="s">
        <v>281</v>
      </c>
      <c r="J18" t="s">
        <v>282</v>
      </c>
      <c r="K18" t="s">
        <v>259</v>
      </c>
    </row>
    <row r="19" spans="1:11">
      <c r="A19" s="9">
        <v>45078</v>
      </c>
      <c r="B19" t="s">
        <v>283</v>
      </c>
      <c r="C19" t="s">
        <v>261</v>
      </c>
      <c r="D19" t="s">
        <v>262</v>
      </c>
      <c r="E19" t="s">
        <v>247</v>
      </c>
      <c r="F19">
        <v>4250</v>
      </c>
      <c r="G19">
        <v>901</v>
      </c>
      <c r="H19">
        <v>0.212</v>
      </c>
      <c r="I19" t="s">
        <v>284</v>
      </c>
      <c r="J19" t="s">
        <v>285</v>
      </c>
      <c r="K19" t="s">
        <v>259</v>
      </c>
    </row>
    <row r="20" spans="1:11">
      <c r="A20" s="9">
        <v>45079</v>
      </c>
      <c r="B20" t="s">
        <v>286</v>
      </c>
      <c r="C20" t="s">
        <v>261</v>
      </c>
      <c r="D20" t="s">
        <v>262</v>
      </c>
      <c r="E20" t="s">
        <v>228</v>
      </c>
      <c r="F20">
        <v>5250</v>
      </c>
      <c r="G20">
        <v>1349</v>
      </c>
      <c r="H20">
        <v>0.256952380952381</v>
      </c>
      <c r="I20" t="s">
        <v>287</v>
      </c>
      <c r="J20" t="s">
        <v>288</v>
      </c>
      <c r="K20" t="s">
        <v>214</v>
      </c>
    </row>
    <row r="21" spans="1:11">
      <c r="A21" s="9">
        <v>45079</v>
      </c>
      <c r="B21" t="s">
        <v>289</v>
      </c>
      <c r="C21" t="s">
        <v>227</v>
      </c>
      <c r="D21" t="s">
        <v>158</v>
      </c>
      <c r="E21" t="s">
        <v>228</v>
      </c>
      <c r="F21">
        <v>6500</v>
      </c>
      <c r="G21">
        <v>1288</v>
      </c>
      <c r="H21">
        <v>0.198153846153846</v>
      </c>
      <c r="I21" t="s">
        <v>290</v>
      </c>
      <c r="J21" t="s">
        <v>291</v>
      </c>
      <c r="K21" t="s">
        <v>214</v>
      </c>
    </row>
    <row r="22" spans="1:11">
      <c r="A22" s="9">
        <v>45079</v>
      </c>
      <c r="B22" t="s">
        <v>292</v>
      </c>
      <c r="C22" t="s">
        <v>227</v>
      </c>
      <c r="D22" t="s">
        <v>158</v>
      </c>
      <c r="E22" t="s">
        <v>228</v>
      </c>
      <c r="F22">
        <v>7500</v>
      </c>
      <c r="G22">
        <v>1664</v>
      </c>
      <c r="H22">
        <v>0.221866666666667</v>
      </c>
      <c r="I22" t="s">
        <v>293</v>
      </c>
      <c r="J22" t="s">
        <v>294</v>
      </c>
      <c r="K22" t="s">
        <v>214</v>
      </c>
    </row>
    <row r="23" spans="1:11">
      <c r="A23" s="9">
        <v>45079</v>
      </c>
      <c r="B23" t="s">
        <v>295</v>
      </c>
      <c r="C23" t="s">
        <v>227</v>
      </c>
      <c r="D23" t="s">
        <v>158</v>
      </c>
      <c r="E23" t="s">
        <v>222</v>
      </c>
      <c r="F23">
        <v>5500</v>
      </c>
      <c r="G23">
        <v>1320</v>
      </c>
      <c r="H23">
        <v>0.24</v>
      </c>
      <c r="I23" t="s">
        <v>296</v>
      </c>
      <c r="J23" t="s">
        <v>297</v>
      </c>
      <c r="K23" t="s">
        <v>214</v>
      </c>
    </row>
    <row r="24" spans="1:11">
      <c r="A24" s="9">
        <v>45079</v>
      </c>
      <c r="B24" t="s">
        <v>298</v>
      </c>
      <c r="C24" t="s">
        <v>227</v>
      </c>
      <c r="D24" t="s">
        <v>158</v>
      </c>
      <c r="E24" t="s">
        <v>222</v>
      </c>
      <c r="F24">
        <v>4625</v>
      </c>
      <c r="G24">
        <v>1001</v>
      </c>
      <c r="H24">
        <v>0.216432432432432</v>
      </c>
      <c r="I24" t="s">
        <v>299</v>
      </c>
      <c r="J24" t="s">
        <v>300</v>
      </c>
      <c r="K24" t="s">
        <v>214</v>
      </c>
    </row>
    <row r="25" spans="1:11">
      <c r="A25" s="9">
        <v>45079</v>
      </c>
      <c r="B25" t="s">
        <v>301</v>
      </c>
      <c r="C25" t="s">
        <v>227</v>
      </c>
      <c r="D25" t="s">
        <v>158</v>
      </c>
      <c r="E25" t="s">
        <v>222</v>
      </c>
      <c r="F25">
        <v>4500</v>
      </c>
      <c r="G25">
        <v>960</v>
      </c>
      <c r="H25">
        <v>0.213333333333333</v>
      </c>
      <c r="I25" t="s">
        <v>302</v>
      </c>
      <c r="J25" t="s">
        <v>303</v>
      </c>
      <c r="K25" t="s">
        <v>259</v>
      </c>
    </row>
    <row r="26" spans="1:11">
      <c r="A26" s="9">
        <v>45079</v>
      </c>
      <c r="B26" t="s">
        <v>304</v>
      </c>
      <c r="C26" t="s">
        <v>227</v>
      </c>
      <c r="D26" t="s">
        <v>158</v>
      </c>
      <c r="E26" t="s">
        <v>247</v>
      </c>
      <c r="F26">
        <v>5400</v>
      </c>
      <c r="G26">
        <v>540</v>
      </c>
      <c r="H26">
        <v>0.1</v>
      </c>
      <c r="I26" t="s">
        <v>305</v>
      </c>
      <c r="J26" t="s">
        <v>306</v>
      </c>
      <c r="K26" t="s">
        <v>225</v>
      </c>
    </row>
  </sheetData>
  <pageMargins left="0.7" right="0.7" top="0.75" bottom="0.75" header="0.3" footer="0.3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18"/>
  <sheetViews>
    <sheetView zoomScale="96" zoomScaleNormal="96" workbookViewId="0">
      <selection activeCell="H9" sqref="H9"/>
    </sheetView>
  </sheetViews>
  <sheetFormatPr defaultColWidth="9" defaultRowHeight="13.2"/>
  <cols>
    <col min="1" max="1" width="17.2222222222222" customWidth="1"/>
    <col min="2" max="2" width="17.5555555555556" customWidth="1"/>
    <col min="3" max="3" width="17.8888888888889" customWidth="1"/>
    <col min="4" max="4" width="18.5555555555556" customWidth="1"/>
    <col min="5" max="5" width="16.6666666666667" customWidth="1"/>
  </cols>
  <sheetData>
    <row r="1" spans="1:5">
      <c r="A1" s="3" t="s">
        <v>10</v>
      </c>
      <c r="B1" s="4" t="s">
        <v>11</v>
      </c>
      <c r="C1" s="3" t="s">
        <v>12</v>
      </c>
      <c r="D1" s="3" t="s">
        <v>13</v>
      </c>
      <c r="E1" s="3" t="s">
        <v>307</v>
      </c>
    </row>
    <row r="2" spans="1:5">
      <c r="A2" s="5" t="s">
        <v>59</v>
      </c>
      <c r="B2" s="6" t="s">
        <v>60</v>
      </c>
      <c r="C2" s="5" t="s">
        <v>61</v>
      </c>
      <c r="D2" s="5" t="s">
        <v>62</v>
      </c>
      <c r="E2" t="str">
        <f>LOOKUP(C2,TABLE2!J2:J117,TABLE2!F2:F117)</f>
        <v>ATT</v>
      </c>
    </row>
    <row r="3" spans="1:5">
      <c r="A3" s="5" t="s">
        <v>59</v>
      </c>
      <c r="B3" s="6" t="s">
        <v>60</v>
      </c>
      <c r="C3" s="5" t="s">
        <v>61</v>
      </c>
      <c r="D3" s="5" t="s">
        <v>62</v>
      </c>
      <c r="E3" t="str">
        <f>LOOKUP(C3,TABLE2!J3:J118,TABLE2!F3:F118)</f>
        <v>ATT</v>
      </c>
    </row>
    <row r="4" spans="1:5">
      <c r="A4" s="5" t="s">
        <v>78</v>
      </c>
      <c r="B4" s="6" t="s">
        <v>79</v>
      </c>
      <c r="C4" s="5" t="s">
        <v>80</v>
      </c>
      <c r="D4" s="5" t="s">
        <v>62</v>
      </c>
      <c r="E4" t="str">
        <f>LOOKUP(C4,TABLE2!J4:J119,TABLE2!F4:F119)</f>
        <v>Verizon</v>
      </c>
    </row>
    <row r="5" spans="1:5">
      <c r="A5" s="5" t="s">
        <v>78</v>
      </c>
      <c r="B5" s="6" t="s">
        <v>79</v>
      </c>
      <c r="C5" s="5" t="s">
        <v>80</v>
      </c>
      <c r="D5" s="5" t="s">
        <v>62</v>
      </c>
      <c r="E5" t="str">
        <f>LOOKUP(C5,TABLE2!J5:J120,TABLE2!F5:F120)</f>
        <v>Soap</v>
      </c>
    </row>
    <row r="6" spans="1:5">
      <c r="A6" s="5" t="s">
        <v>90</v>
      </c>
      <c r="B6" s="6" t="s">
        <v>87</v>
      </c>
      <c r="C6" s="5" t="s">
        <v>91</v>
      </c>
      <c r="D6" s="5" t="s">
        <v>62</v>
      </c>
      <c r="E6" t="str">
        <f>LOOKUP(C6,TABLE2!J6:J121,TABLE2!F6:F121)</f>
        <v>DVD</v>
      </c>
    </row>
    <row r="7" spans="1:5">
      <c r="A7" s="5" t="s">
        <v>90</v>
      </c>
      <c r="B7" s="6" t="s">
        <v>87</v>
      </c>
      <c r="C7" s="5" t="s">
        <v>91</v>
      </c>
      <c r="D7" s="5" t="s">
        <v>62</v>
      </c>
      <c r="E7" t="str">
        <f>LOOKUP(C7,TABLE2!J7:J122,TABLE2!F7:F122)</f>
        <v>DVD</v>
      </c>
    </row>
    <row r="8" spans="1:5">
      <c r="A8" s="5" t="s">
        <v>97</v>
      </c>
      <c r="B8" s="6" t="s">
        <v>98</v>
      </c>
      <c r="C8" s="5" t="s">
        <v>61</v>
      </c>
      <c r="D8" s="5" t="s">
        <v>99</v>
      </c>
      <c r="E8" t="str">
        <f>LOOKUP(C8,TABLE2!J8:J123,TABLE2!F8:F123)</f>
        <v>ATT</v>
      </c>
    </row>
    <row r="9" spans="1:5">
      <c r="A9" s="5" t="s">
        <v>97</v>
      </c>
      <c r="B9" s="6" t="s">
        <v>98</v>
      </c>
      <c r="C9" s="5" t="s">
        <v>61</v>
      </c>
      <c r="D9" s="5" t="s">
        <v>62</v>
      </c>
      <c r="E9" t="str">
        <f>LOOKUP(C9,TABLE2!J9:J124,TABLE2!F9:F124)</f>
        <v>DVD</v>
      </c>
    </row>
    <row r="10" spans="1:5">
      <c r="A10" s="5" t="s">
        <v>104</v>
      </c>
      <c r="B10" s="6" t="s">
        <v>105</v>
      </c>
      <c r="C10" s="5" t="s">
        <v>106</v>
      </c>
      <c r="D10" s="5" t="s">
        <v>62</v>
      </c>
      <c r="E10" t="str">
        <f>LOOKUP(C10,TABLE2!J10:J125,TABLE2!F10:F125)</f>
        <v>ATT</v>
      </c>
    </row>
    <row r="11" spans="1:5">
      <c r="A11" s="5" t="s">
        <v>104</v>
      </c>
      <c r="B11" s="6" t="s">
        <v>105</v>
      </c>
      <c r="C11" s="5" t="s">
        <v>106</v>
      </c>
      <c r="D11" s="5" t="s">
        <v>62</v>
      </c>
      <c r="E11" t="str">
        <f>LOOKUP(C11,TABLE2!J11:J126,TABLE2!F11:F126)</f>
        <v>Verizon</v>
      </c>
    </row>
    <row r="12" spans="1:5">
      <c r="A12" s="5" t="s">
        <v>113</v>
      </c>
      <c r="B12" s="6" t="s">
        <v>114</v>
      </c>
      <c r="C12" s="5" t="s">
        <v>115</v>
      </c>
      <c r="D12" s="5" t="s">
        <v>116</v>
      </c>
      <c r="E12" t="str">
        <f>LOOKUP(C12,TABLE2!J12:J127,TABLE2!F12:F127)</f>
        <v>Laptop</v>
      </c>
    </row>
    <row r="13" spans="1:5">
      <c r="A13" s="5" t="s">
        <v>113</v>
      </c>
      <c r="B13" s="6" t="s">
        <v>114</v>
      </c>
      <c r="C13" s="5" t="s">
        <v>115</v>
      </c>
      <c r="D13" s="5" t="s">
        <v>116</v>
      </c>
      <c r="E13" t="str">
        <f>LOOKUP(C13,TABLE2!J13:J128,TABLE2!F13:F128)</f>
        <v>Laptop</v>
      </c>
    </row>
    <row r="14" spans="1:5">
      <c r="A14" s="5" t="s">
        <v>78</v>
      </c>
      <c r="B14" s="6" t="s">
        <v>79</v>
      </c>
      <c r="C14" s="5" t="s">
        <v>80</v>
      </c>
      <c r="D14" s="5" t="s">
        <v>62</v>
      </c>
      <c r="E14">
        <f>LOOKUP(C14,TABLE2!J14:J129,TABLE2!F14:F129)</f>
        <v>0</v>
      </c>
    </row>
    <row r="15" spans="1:5">
      <c r="A15" s="5" t="s">
        <v>78</v>
      </c>
      <c r="B15" s="6" t="s">
        <v>79</v>
      </c>
      <c r="C15" s="5" t="s">
        <v>80</v>
      </c>
      <c r="D15" s="5" t="s">
        <v>62</v>
      </c>
      <c r="E15" t="str">
        <f>LOOKUP(C15,TABLE2!J15:J130,TABLE2!F15:F130)</f>
        <v>DVD</v>
      </c>
    </row>
    <row r="16" spans="1:5">
      <c r="A16" s="5" t="s">
        <v>126</v>
      </c>
      <c r="B16" s="6" t="s">
        <v>95</v>
      </c>
      <c r="C16" s="5" t="s">
        <v>61</v>
      </c>
      <c r="D16" s="5" t="s">
        <v>62</v>
      </c>
      <c r="E16" t="str">
        <f>LOOKUP(C16,TABLE2!J16:J131,TABLE2!F16:F131)</f>
        <v>DVD</v>
      </c>
    </row>
    <row r="17" spans="1:5">
      <c r="A17" s="5" t="s">
        <v>126</v>
      </c>
      <c r="B17" s="6" t="s">
        <v>95</v>
      </c>
      <c r="C17" s="5" t="s">
        <v>61</v>
      </c>
      <c r="D17" s="5" t="s">
        <v>62</v>
      </c>
      <c r="E17" t="str">
        <f>LOOKUP(C17,TABLE2!J17:J132,TABLE2!F17:F132)</f>
        <v>DVD</v>
      </c>
    </row>
    <row r="18" spans="1:5">
      <c r="A18" s="5" t="s">
        <v>129</v>
      </c>
      <c r="B18" s="6" t="s">
        <v>108</v>
      </c>
      <c r="C18" s="5" t="s">
        <v>130</v>
      </c>
      <c r="D18" s="5" t="s">
        <v>62</v>
      </c>
      <c r="E18">
        <f>LOOKUP(C18,TABLE2!J18:J133,TABLE2!F18:F133)</f>
        <v>0</v>
      </c>
    </row>
    <row r="19" spans="1:5">
      <c r="A19" s="5" t="s">
        <v>129</v>
      </c>
      <c r="B19" s="6" t="s">
        <v>108</v>
      </c>
      <c r="C19" s="5" t="s">
        <v>130</v>
      </c>
      <c r="D19" s="5" t="s">
        <v>62</v>
      </c>
      <c r="E19">
        <f>LOOKUP(C19,TABLE2!J19:J134,TABLE2!F19:F134)</f>
        <v>0</v>
      </c>
    </row>
    <row r="20" spans="1:5">
      <c r="A20" s="5" t="s">
        <v>131</v>
      </c>
      <c r="B20" s="6" t="s">
        <v>132</v>
      </c>
      <c r="C20" s="5" t="s">
        <v>133</v>
      </c>
      <c r="D20" s="5" t="s">
        <v>62</v>
      </c>
      <c r="E20" t="str">
        <f>LOOKUP(C20,TABLE2!J20:J135,TABLE2!F20:F135)</f>
        <v>Powder</v>
      </c>
    </row>
    <row r="21" spans="1:5">
      <c r="A21" s="5" t="s">
        <v>131</v>
      </c>
      <c r="B21" s="6" t="s">
        <v>132</v>
      </c>
      <c r="C21" s="5" t="s">
        <v>133</v>
      </c>
      <c r="D21" s="5" t="s">
        <v>62</v>
      </c>
      <c r="E21" t="str">
        <f>LOOKUP(C21,TABLE2!J21:J136,TABLE2!F21:F136)</f>
        <v>Powder</v>
      </c>
    </row>
    <row r="22" spans="1:5">
      <c r="A22" s="5" t="s">
        <v>134</v>
      </c>
      <c r="B22" s="6" t="s">
        <v>135</v>
      </c>
      <c r="C22" s="5" t="s">
        <v>115</v>
      </c>
      <c r="D22" s="5" t="s">
        <v>116</v>
      </c>
      <c r="E22" t="str">
        <f>LOOKUP(C22,TABLE2!J22:J137,TABLE2!F22:F137)</f>
        <v>Laptop</v>
      </c>
    </row>
    <row r="23" spans="1:5">
      <c r="A23" s="5" t="s">
        <v>134</v>
      </c>
      <c r="B23" s="6" t="s">
        <v>135</v>
      </c>
      <c r="C23" s="5" t="s">
        <v>115</v>
      </c>
      <c r="D23" s="5" t="s">
        <v>116</v>
      </c>
      <c r="E23" t="str">
        <f>LOOKUP(C23,TABLE2!J23:J138,TABLE2!F23:F138)</f>
        <v>Laptop</v>
      </c>
    </row>
    <row r="24" spans="1:5">
      <c r="A24" s="5" t="s">
        <v>138</v>
      </c>
      <c r="B24" s="6" t="s">
        <v>121</v>
      </c>
      <c r="C24" s="5" t="s">
        <v>130</v>
      </c>
      <c r="D24" s="5" t="s">
        <v>99</v>
      </c>
      <c r="E24" t="str">
        <f>LOOKUP(C24,TABLE2!J24:J139,TABLE2!F24:F139)</f>
        <v>Verizon</v>
      </c>
    </row>
    <row r="25" spans="1:5">
      <c r="A25" s="5" t="s">
        <v>138</v>
      </c>
      <c r="B25" s="6" t="s">
        <v>121</v>
      </c>
      <c r="C25" s="5" t="s">
        <v>130</v>
      </c>
      <c r="D25" s="5" t="s">
        <v>62</v>
      </c>
      <c r="E25">
        <f>LOOKUP(C25,TABLE2!J25:J140,TABLE2!F25:F140)</f>
        <v>0</v>
      </c>
    </row>
    <row r="26" spans="1:5">
      <c r="A26" s="5" t="s">
        <v>141</v>
      </c>
      <c r="B26" s="6" t="s">
        <v>142</v>
      </c>
      <c r="C26" s="5" t="s">
        <v>80</v>
      </c>
      <c r="D26" s="5" t="s">
        <v>62</v>
      </c>
      <c r="E26" t="str">
        <f>LOOKUP(C26,TABLE2!J26:J141,TABLE2!F26:F141)</f>
        <v>ATT</v>
      </c>
    </row>
    <row r="27" spans="1:5">
      <c r="A27" s="5" t="s">
        <v>141</v>
      </c>
      <c r="B27" s="6" t="s">
        <v>142</v>
      </c>
      <c r="C27" s="5" t="s">
        <v>80</v>
      </c>
      <c r="D27" s="5" t="s">
        <v>62</v>
      </c>
      <c r="E27" t="str">
        <f>LOOKUP(C27,TABLE2!J27:J142,TABLE2!F27:F142)</f>
        <v>Laptop</v>
      </c>
    </row>
    <row r="28" spans="1:5">
      <c r="A28" s="5" t="s">
        <v>147</v>
      </c>
      <c r="B28" s="6" t="s">
        <v>148</v>
      </c>
      <c r="C28" s="5" t="s">
        <v>149</v>
      </c>
      <c r="D28" s="5" t="s">
        <v>116</v>
      </c>
      <c r="E28" t="str">
        <f>LOOKUP(C28,TABLE2!J28:J143,TABLE2!F28:F143)</f>
        <v>DVD</v>
      </c>
    </row>
    <row r="29" spans="1:5">
      <c r="A29" s="5" t="s">
        <v>147</v>
      </c>
      <c r="B29" s="6" t="s">
        <v>148</v>
      </c>
      <c r="C29" s="5" t="s">
        <v>149</v>
      </c>
      <c r="D29" s="5" t="s">
        <v>116</v>
      </c>
      <c r="E29" t="str">
        <f>LOOKUP(C29,TABLE2!J29:J144,TABLE2!F29:F144)</f>
        <v>DVD</v>
      </c>
    </row>
    <row r="30" spans="1:5">
      <c r="A30" s="5" t="s">
        <v>151</v>
      </c>
      <c r="B30" s="6" t="s">
        <v>100</v>
      </c>
      <c r="C30" s="5" t="s">
        <v>61</v>
      </c>
      <c r="D30" s="5" t="s">
        <v>62</v>
      </c>
      <c r="E30" t="str">
        <f>LOOKUP(C30,TABLE2!J30:J145,TABLE2!F30:F145)</f>
        <v>DVD</v>
      </c>
    </row>
    <row r="31" spans="1:5">
      <c r="A31" s="5" t="s">
        <v>151</v>
      </c>
      <c r="B31" s="6" t="s">
        <v>100</v>
      </c>
      <c r="C31" s="5" t="s">
        <v>61</v>
      </c>
      <c r="D31" s="5" t="s">
        <v>62</v>
      </c>
      <c r="E31" t="str">
        <f>LOOKUP(C31,TABLE2!J31:J146,TABLE2!F31:F146)</f>
        <v>DVD</v>
      </c>
    </row>
    <row r="32" spans="1:5">
      <c r="A32" s="5" t="s">
        <v>152</v>
      </c>
      <c r="B32" s="6" t="s">
        <v>103</v>
      </c>
      <c r="C32" s="5" t="s">
        <v>130</v>
      </c>
      <c r="D32" s="5" t="s">
        <v>99</v>
      </c>
      <c r="E32">
        <f>LOOKUP(C32,TABLE2!J32:J147,TABLE2!F32:F147)</f>
        <v>0</v>
      </c>
    </row>
    <row r="33" spans="1:5">
      <c r="A33" s="5" t="s">
        <v>152</v>
      </c>
      <c r="B33" s="6" t="s">
        <v>103</v>
      </c>
      <c r="C33" s="5" t="s">
        <v>130</v>
      </c>
      <c r="D33" s="5" t="s">
        <v>62</v>
      </c>
      <c r="E33" t="str">
        <f>LOOKUP(C33,TABLE2!J33:J148,TABLE2!F33:F148)</f>
        <v>ATT</v>
      </c>
    </row>
    <row r="34" spans="1:5">
      <c r="A34" s="5" t="s">
        <v>129</v>
      </c>
      <c r="B34" s="6" t="s">
        <v>108</v>
      </c>
      <c r="C34" s="5" t="s">
        <v>130</v>
      </c>
      <c r="D34" s="5" t="s">
        <v>99</v>
      </c>
      <c r="E34" t="str">
        <f>LOOKUP(C34,TABLE2!J34:J149,TABLE2!F34:F149)</f>
        <v>ATT</v>
      </c>
    </row>
    <row r="35" spans="1:5">
      <c r="A35" s="5" t="s">
        <v>129</v>
      </c>
      <c r="B35" s="6" t="s">
        <v>108</v>
      </c>
      <c r="C35" s="5" t="s">
        <v>130</v>
      </c>
      <c r="D35" s="5" t="s">
        <v>62</v>
      </c>
      <c r="E35" t="str">
        <f>LOOKUP(C35,TABLE2!J35:J150,TABLE2!F35:F150)</f>
        <v>ATT</v>
      </c>
    </row>
    <row r="36" spans="1:5">
      <c r="A36" s="5" t="s">
        <v>154</v>
      </c>
      <c r="B36" s="6" t="s">
        <v>155</v>
      </c>
      <c r="C36" s="5" t="s">
        <v>149</v>
      </c>
      <c r="D36" s="5" t="s">
        <v>116</v>
      </c>
      <c r="E36" t="str">
        <f>LOOKUP(C36,TABLE2!J36:J151,TABLE2!F36:F151)</f>
        <v>DVD</v>
      </c>
    </row>
    <row r="37" spans="1:5">
      <c r="A37" s="5" t="s">
        <v>154</v>
      </c>
      <c r="B37" s="6" t="s">
        <v>155</v>
      </c>
      <c r="C37" s="5" t="s">
        <v>149</v>
      </c>
      <c r="D37" s="5" t="s">
        <v>116</v>
      </c>
      <c r="E37" t="str">
        <f>LOOKUP(C37,TABLE2!J37:J152,TABLE2!F37:F152)</f>
        <v>DVD</v>
      </c>
    </row>
    <row r="38" spans="1:5">
      <c r="A38" s="5" t="s">
        <v>90</v>
      </c>
      <c r="B38" s="6" t="s">
        <v>87</v>
      </c>
      <c r="C38" s="5" t="s">
        <v>91</v>
      </c>
      <c r="D38" s="5" t="s">
        <v>99</v>
      </c>
      <c r="E38">
        <f>LOOKUP(C38,TABLE2!J38:J153,TABLE2!F38:F153)</f>
        <v>0</v>
      </c>
    </row>
    <row r="39" spans="1:5">
      <c r="A39" s="5" t="s">
        <v>90</v>
      </c>
      <c r="B39" s="6" t="s">
        <v>87</v>
      </c>
      <c r="C39" s="5" t="s">
        <v>91</v>
      </c>
      <c r="D39" s="5" t="s">
        <v>62</v>
      </c>
      <c r="E39">
        <f>LOOKUP(C39,TABLE2!J39:J154,TABLE2!F39:F154)</f>
        <v>0</v>
      </c>
    </row>
    <row r="40" spans="1:5">
      <c r="A40" s="5" t="s">
        <v>159</v>
      </c>
      <c r="B40" s="6" t="s">
        <v>160</v>
      </c>
      <c r="C40" s="5" t="s">
        <v>133</v>
      </c>
      <c r="D40" s="5" t="s">
        <v>62</v>
      </c>
      <c r="E40">
        <f>LOOKUP(C40,TABLE2!J40:J155,TABLE2!F40:F155)</f>
        <v>0</v>
      </c>
    </row>
    <row r="41" spans="1:5">
      <c r="A41" s="5" t="s">
        <v>159</v>
      </c>
      <c r="B41" s="6" t="s">
        <v>160</v>
      </c>
      <c r="C41" s="5" t="s">
        <v>133</v>
      </c>
      <c r="D41" s="5" t="s">
        <v>62</v>
      </c>
      <c r="E41">
        <f>LOOKUP(C41,TABLE2!J41:J156,TABLE2!F41:F156)</f>
        <v>0</v>
      </c>
    </row>
    <row r="42" spans="1:5">
      <c r="A42" s="5" t="s">
        <v>161</v>
      </c>
      <c r="B42" s="6" t="s">
        <v>162</v>
      </c>
      <c r="C42" s="5" t="s">
        <v>149</v>
      </c>
      <c r="D42" s="5" t="s">
        <v>116</v>
      </c>
      <c r="E42" t="str">
        <f>LOOKUP(C42,TABLE2!J42:J157,TABLE2!F42:F157)</f>
        <v>Laptop</v>
      </c>
    </row>
    <row r="43" spans="1:5">
      <c r="A43" s="5" t="s">
        <v>161</v>
      </c>
      <c r="B43" s="6" t="s">
        <v>162</v>
      </c>
      <c r="C43" s="5" t="s">
        <v>149</v>
      </c>
      <c r="D43" s="5" t="s">
        <v>116</v>
      </c>
      <c r="E43" t="str">
        <f>LOOKUP(C43,TABLE2!J43:J158,TABLE2!F43:F158)</f>
        <v>Laptop</v>
      </c>
    </row>
    <row r="44" spans="1:5">
      <c r="A44" s="5" t="s">
        <v>163</v>
      </c>
      <c r="B44" s="6" t="s">
        <v>164</v>
      </c>
      <c r="C44" s="5" t="s">
        <v>106</v>
      </c>
      <c r="D44" s="5" t="s">
        <v>62</v>
      </c>
      <c r="E44">
        <f>LOOKUP(C44,TABLE2!J44:J159,TABLE2!F44:F159)</f>
        <v>0</v>
      </c>
    </row>
    <row r="45" spans="1:5">
      <c r="A45" s="5" t="s">
        <v>163</v>
      </c>
      <c r="B45" s="6" t="s">
        <v>164</v>
      </c>
      <c r="C45" s="5" t="s">
        <v>106</v>
      </c>
      <c r="D45" s="5" t="s">
        <v>62</v>
      </c>
      <c r="E45">
        <f>LOOKUP(C45,TABLE2!J45:J160,TABLE2!F45:F160)</f>
        <v>0</v>
      </c>
    </row>
    <row r="46" spans="1:5">
      <c r="A46" s="5" t="s">
        <v>126</v>
      </c>
      <c r="B46" s="6" t="s">
        <v>95</v>
      </c>
      <c r="C46" s="5" t="s">
        <v>61</v>
      </c>
      <c r="D46" s="5" t="s">
        <v>99</v>
      </c>
      <c r="E46" t="str">
        <f>LOOKUP(C46,TABLE2!J46:J161,TABLE2!F46:F161)</f>
        <v>DVD</v>
      </c>
    </row>
    <row r="47" spans="1:5">
      <c r="A47" s="5" t="s">
        <v>126</v>
      </c>
      <c r="B47" s="6" t="s">
        <v>95</v>
      </c>
      <c r="C47" s="5" t="s">
        <v>61</v>
      </c>
      <c r="D47" s="5" t="s">
        <v>62</v>
      </c>
      <c r="E47" t="str">
        <f>LOOKUP(C47,TABLE2!J47:J162,TABLE2!F47:F162)</f>
        <v>DVD</v>
      </c>
    </row>
    <row r="48" spans="1:5">
      <c r="A48" s="5" t="s">
        <v>168</v>
      </c>
      <c r="B48" s="6" t="s">
        <v>169</v>
      </c>
      <c r="C48" s="5" t="s">
        <v>115</v>
      </c>
      <c r="D48" s="5" t="s">
        <v>116</v>
      </c>
      <c r="E48" t="str">
        <f>LOOKUP(C48,TABLE2!J48:J163,TABLE2!F48:F163)</f>
        <v>Laptop</v>
      </c>
    </row>
    <row r="49" spans="1:5">
      <c r="A49" s="5" t="s">
        <v>168</v>
      </c>
      <c r="B49" s="6" t="s">
        <v>169</v>
      </c>
      <c r="C49" s="5" t="s">
        <v>115</v>
      </c>
      <c r="D49" s="5" t="s">
        <v>116</v>
      </c>
      <c r="E49" t="str">
        <f>LOOKUP(C49,TABLE2!J49:J164,TABLE2!F49:F164)</f>
        <v>Laptop</v>
      </c>
    </row>
    <row r="50" spans="1:5">
      <c r="A50" s="5" t="s">
        <v>171</v>
      </c>
      <c r="B50" s="6" t="s">
        <v>172</v>
      </c>
      <c r="C50" s="5" t="s">
        <v>149</v>
      </c>
      <c r="D50" s="5" t="s">
        <v>116</v>
      </c>
      <c r="E50" t="str">
        <f>LOOKUP(C50,TABLE2!J50:J165,TABLE2!F50:F165)</f>
        <v>DVD</v>
      </c>
    </row>
    <row r="51" spans="1:5">
      <c r="A51" s="5" t="s">
        <v>171</v>
      </c>
      <c r="B51" s="6" t="s">
        <v>172</v>
      </c>
      <c r="C51" s="5" t="s">
        <v>149</v>
      </c>
      <c r="D51" s="5" t="s">
        <v>116</v>
      </c>
      <c r="E51" t="str">
        <f>LOOKUP(C51,TABLE2!J51:J166,TABLE2!F51:F166)</f>
        <v>DVD</v>
      </c>
    </row>
    <row r="52" spans="1:5">
      <c r="A52" s="5" t="s">
        <v>147</v>
      </c>
      <c r="B52" s="6" t="s">
        <v>148</v>
      </c>
      <c r="C52" s="5" t="s">
        <v>149</v>
      </c>
      <c r="D52" s="5" t="s">
        <v>116</v>
      </c>
      <c r="E52" t="str">
        <f>LOOKUP(C52,TABLE2!J52:J167,TABLE2!F52:F167)</f>
        <v>DVD</v>
      </c>
    </row>
    <row r="53" spans="1:5">
      <c r="A53" s="5" t="s">
        <v>147</v>
      </c>
      <c r="B53" s="6" t="s">
        <v>148</v>
      </c>
      <c r="C53" s="5" t="s">
        <v>149</v>
      </c>
      <c r="D53" s="5" t="s">
        <v>116</v>
      </c>
      <c r="E53" t="str">
        <f>LOOKUP(C53,TABLE2!J53:J168,TABLE2!F53:F168)</f>
        <v>DVD</v>
      </c>
    </row>
    <row r="54" spans="1:5">
      <c r="A54" s="5" t="s">
        <v>175</v>
      </c>
      <c r="B54" s="6" t="s">
        <v>84</v>
      </c>
      <c r="C54" s="5" t="s">
        <v>91</v>
      </c>
      <c r="D54" s="5" t="s">
        <v>62</v>
      </c>
      <c r="E54">
        <f>LOOKUP(C54,TABLE2!J54:J169,TABLE2!F54:F169)</f>
        <v>0</v>
      </c>
    </row>
    <row r="55" spans="1:5">
      <c r="A55" s="5" t="s">
        <v>175</v>
      </c>
      <c r="B55" s="6" t="s">
        <v>84</v>
      </c>
      <c r="C55" s="5" t="s">
        <v>91</v>
      </c>
      <c r="D55" s="5" t="s">
        <v>62</v>
      </c>
      <c r="E55">
        <f>LOOKUP(C55,TABLE2!J55:J170,TABLE2!F55:F170)</f>
        <v>0</v>
      </c>
    </row>
    <row r="56" spans="1:5">
      <c r="A56" s="5" t="s">
        <v>159</v>
      </c>
      <c r="B56" s="6" t="s">
        <v>160</v>
      </c>
      <c r="C56" s="5" t="s">
        <v>133</v>
      </c>
      <c r="D56" s="5" t="s">
        <v>62</v>
      </c>
      <c r="E56">
        <f>LOOKUP(C56,TABLE2!J56:J171,TABLE2!F56:F171)</f>
        <v>0</v>
      </c>
    </row>
    <row r="57" spans="1:5">
      <c r="A57" s="5" t="s">
        <v>159</v>
      </c>
      <c r="B57" s="6" t="s">
        <v>160</v>
      </c>
      <c r="C57" s="5" t="s">
        <v>133</v>
      </c>
      <c r="D57" s="5" t="s">
        <v>62</v>
      </c>
      <c r="E57">
        <f>LOOKUP(C57,TABLE2!J57:J172,TABLE2!F57:F172)</f>
        <v>0</v>
      </c>
    </row>
    <row r="58" spans="1:5">
      <c r="A58" s="5" t="s">
        <v>176</v>
      </c>
      <c r="B58" s="6" t="s">
        <v>120</v>
      </c>
      <c r="C58" s="5" t="s">
        <v>91</v>
      </c>
      <c r="D58" s="5" t="s">
        <v>99</v>
      </c>
      <c r="E58">
        <f>LOOKUP(C58,TABLE2!J58:J173,TABLE2!F58:F173)</f>
        <v>0</v>
      </c>
    </row>
    <row r="59" spans="1:5">
      <c r="A59" s="5" t="s">
        <v>176</v>
      </c>
      <c r="B59" s="6" t="s">
        <v>120</v>
      </c>
      <c r="C59" s="5" t="s">
        <v>91</v>
      </c>
      <c r="D59" s="5" t="s">
        <v>62</v>
      </c>
      <c r="E59">
        <f>LOOKUP(C59,TABLE2!J59:J174,TABLE2!F59:F174)</f>
        <v>0</v>
      </c>
    </row>
    <row r="60" spans="1:5">
      <c r="A60" s="5" t="s">
        <v>179</v>
      </c>
      <c r="B60" s="6" t="s">
        <v>180</v>
      </c>
      <c r="C60" s="5" t="s">
        <v>106</v>
      </c>
      <c r="D60" s="5" t="s">
        <v>62</v>
      </c>
      <c r="E60">
        <f>LOOKUP(C60,TABLE2!J60:J175,TABLE2!F60:F175)</f>
        <v>0</v>
      </c>
    </row>
    <row r="61" spans="1:5">
      <c r="A61" s="5" t="s">
        <v>179</v>
      </c>
      <c r="B61" s="6" t="s">
        <v>180</v>
      </c>
      <c r="C61" s="5" t="s">
        <v>106</v>
      </c>
      <c r="D61" s="5" t="s">
        <v>62</v>
      </c>
      <c r="E61">
        <f>LOOKUP(C61,TABLE2!J61:J176,TABLE2!F61:F176)</f>
        <v>0</v>
      </c>
    </row>
    <row r="62" spans="1:5">
      <c r="A62" s="5" t="s">
        <v>171</v>
      </c>
      <c r="B62" s="6" t="s">
        <v>172</v>
      </c>
      <c r="C62" s="5" t="s">
        <v>149</v>
      </c>
      <c r="D62" s="5" t="s">
        <v>116</v>
      </c>
      <c r="E62" t="str">
        <f>LOOKUP(C62,TABLE2!J62:J177,TABLE2!F62:F177)</f>
        <v>DVD</v>
      </c>
    </row>
    <row r="63" spans="1:5">
      <c r="A63" s="5" t="s">
        <v>171</v>
      </c>
      <c r="B63" s="6" t="s">
        <v>172</v>
      </c>
      <c r="C63" s="5" t="s">
        <v>149</v>
      </c>
      <c r="D63" s="5" t="s">
        <v>116</v>
      </c>
      <c r="E63" t="str">
        <f>LOOKUP(C63,TABLE2!J63:J178,TABLE2!F63:F178)</f>
        <v>DVD</v>
      </c>
    </row>
    <row r="64" spans="1:5">
      <c r="A64" s="5" t="s">
        <v>59</v>
      </c>
      <c r="B64" s="6" t="s">
        <v>60</v>
      </c>
      <c r="C64" s="5" t="s">
        <v>61</v>
      </c>
      <c r="D64" s="5" t="s">
        <v>99</v>
      </c>
      <c r="E64" t="str">
        <f>LOOKUP(C64,TABLE2!J64:J179,TABLE2!F64:F179)</f>
        <v>DVD</v>
      </c>
    </row>
    <row r="65" spans="1:5">
      <c r="A65" s="5" t="s">
        <v>59</v>
      </c>
      <c r="B65" s="6" t="s">
        <v>60</v>
      </c>
      <c r="C65" s="5" t="s">
        <v>61</v>
      </c>
      <c r="D65" s="5" t="s">
        <v>62</v>
      </c>
      <c r="E65" t="str">
        <f>LOOKUP(C65,TABLE2!J65:J180,TABLE2!F65:F180)</f>
        <v>DVD</v>
      </c>
    </row>
    <row r="66" spans="1:5">
      <c r="A66" s="5" t="s">
        <v>183</v>
      </c>
      <c r="B66" s="6" t="s">
        <v>96</v>
      </c>
      <c r="C66" s="5" t="s">
        <v>130</v>
      </c>
      <c r="D66" s="5" t="s">
        <v>62</v>
      </c>
      <c r="E66">
        <f>LOOKUP(C66,TABLE2!J66:J181,TABLE2!F66:F181)</f>
        <v>0</v>
      </c>
    </row>
    <row r="67" spans="1:5">
      <c r="A67" s="5" t="s">
        <v>183</v>
      </c>
      <c r="B67" s="6" t="s">
        <v>96</v>
      </c>
      <c r="C67" s="5" t="s">
        <v>130</v>
      </c>
      <c r="D67" s="5" t="s">
        <v>62</v>
      </c>
      <c r="E67">
        <f>LOOKUP(C67,TABLE2!J67:J182,TABLE2!F67:F182)</f>
        <v>0</v>
      </c>
    </row>
    <row r="68" spans="1:5">
      <c r="A68" s="5" t="s">
        <v>131</v>
      </c>
      <c r="B68" s="6" t="s">
        <v>132</v>
      </c>
      <c r="C68" s="5" t="s">
        <v>133</v>
      </c>
      <c r="D68" s="5" t="s">
        <v>62</v>
      </c>
      <c r="E68">
        <f>LOOKUP(C68,TABLE2!J68:J183,TABLE2!F68:F183)</f>
        <v>0</v>
      </c>
    </row>
    <row r="69" spans="1:5">
      <c r="A69" s="5" t="s">
        <v>131</v>
      </c>
      <c r="B69" s="6" t="s">
        <v>132</v>
      </c>
      <c r="C69" s="5" t="s">
        <v>133</v>
      </c>
      <c r="D69" s="5" t="s">
        <v>62</v>
      </c>
      <c r="E69">
        <f>LOOKUP(C69,TABLE2!J69:J184,TABLE2!F69:F184)</f>
        <v>0</v>
      </c>
    </row>
    <row r="70" spans="1:5">
      <c r="A70" s="5" t="s">
        <v>184</v>
      </c>
      <c r="B70" s="6" t="s">
        <v>185</v>
      </c>
      <c r="C70" s="5" t="s">
        <v>115</v>
      </c>
      <c r="D70" s="5" t="s">
        <v>116</v>
      </c>
      <c r="E70" t="str">
        <f>LOOKUP(C70,TABLE2!J70:J185,TABLE2!F70:F185)</f>
        <v>Laptop</v>
      </c>
    </row>
    <row r="71" spans="1:5">
      <c r="A71" s="5" t="s">
        <v>184</v>
      </c>
      <c r="B71" s="6" t="s">
        <v>185</v>
      </c>
      <c r="C71" s="5" t="s">
        <v>115</v>
      </c>
      <c r="D71" s="5" t="s">
        <v>116</v>
      </c>
      <c r="E71" t="str">
        <f>LOOKUP(C71,TABLE2!J71:J186,TABLE2!F71:F186)</f>
        <v>Laptop</v>
      </c>
    </row>
    <row r="72" spans="1:5">
      <c r="A72" s="5" t="s">
        <v>179</v>
      </c>
      <c r="B72" s="6" t="s">
        <v>180</v>
      </c>
      <c r="C72" s="5" t="s">
        <v>106</v>
      </c>
      <c r="D72" s="5" t="s">
        <v>62</v>
      </c>
      <c r="E72">
        <f>LOOKUP(C72,TABLE2!J72:J187,TABLE2!F72:F187)</f>
        <v>0</v>
      </c>
    </row>
    <row r="73" spans="1:5">
      <c r="A73" s="5" t="s">
        <v>179</v>
      </c>
      <c r="B73" s="6" t="s">
        <v>180</v>
      </c>
      <c r="C73" s="5" t="s">
        <v>106</v>
      </c>
      <c r="D73" s="5" t="s">
        <v>62</v>
      </c>
      <c r="E73">
        <f>LOOKUP(C73,TABLE2!J73:J188,TABLE2!F73:F188)</f>
        <v>0</v>
      </c>
    </row>
    <row r="74" spans="1:5">
      <c r="A74" s="5" t="s">
        <v>154</v>
      </c>
      <c r="B74" s="6" t="s">
        <v>155</v>
      </c>
      <c r="C74" s="5" t="s">
        <v>149</v>
      </c>
      <c r="D74" s="5" t="s">
        <v>116</v>
      </c>
      <c r="E74" t="str">
        <f>LOOKUP(C74,TABLE2!J74:J189,TABLE2!F74:F189)</f>
        <v>DVD</v>
      </c>
    </row>
    <row r="75" spans="1:5">
      <c r="A75" s="5" t="s">
        <v>154</v>
      </c>
      <c r="B75" s="6" t="s">
        <v>155</v>
      </c>
      <c r="C75" s="5" t="s">
        <v>149</v>
      </c>
      <c r="D75" s="5" t="s">
        <v>116</v>
      </c>
      <c r="E75" t="str">
        <f>LOOKUP(C75,TABLE2!J75:J190,TABLE2!F75:F190)</f>
        <v>DVD</v>
      </c>
    </row>
    <row r="76" spans="1:5">
      <c r="A76" s="5" t="s">
        <v>141</v>
      </c>
      <c r="B76" s="6" t="s">
        <v>142</v>
      </c>
      <c r="C76" s="5" t="s">
        <v>80</v>
      </c>
      <c r="D76" s="5" t="s">
        <v>62</v>
      </c>
      <c r="E76">
        <f>LOOKUP(C76,TABLE2!J76:J191,TABLE2!F76:F191)</f>
        <v>0</v>
      </c>
    </row>
    <row r="77" spans="1:5">
      <c r="A77" s="5" t="s">
        <v>141</v>
      </c>
      <c r="B77" s="6" t="s">
        <v>142</v>
      </c>
      <c r="C77" s="5" t="s">
        <v>80</v>
      </c>
      <c r="D77" s="5" t="s">
        <v>62</v>
      </c>
      <c r="E77">
        <f>LOOKUP(C77,TABLE2!J77:J192,TABLE2!F77:F192)</f>
        <v>0</v>
      </c>
    </row>
    <row r="78" spans="1:5">
      <c r="A78" s="5" t="s">
        <v>189</v>
      </c>
      <c r="B78" s="6" t="s">
        <v>190</v>
      </c>
      <c r="C78" s="5" t="s">
        <v>149</v>
      </c>
      <c r="D78" s="5" t="s">
        <v>116</v>
      </c>
      <c r="E78" t="str">
        <f>LOOKUP(C78,TABLE2!J78:J193,TABLE2!F78:F193)</f>
        <v>Laptop</v>
      </c>
    </row>
    <row r="79" spans="1:5">
      <c r="A79" s="5" t="s">
        <v>189</v>
      </c>
      <c r="B79" s="6" t="s">
        <v>190</v>
      </c>
      <c r="C79" s="5" t="s">
        <v>149</v>
      </c>
      <c r="D79" s="5" t="s">
        <v>116</v>
      </c>
      <c r="E79" t="str">
        <f>LOOKUP(C79,TABLE2!J79:J194,TABLE2!F79:F194)</f>
        <v>Laptop</v>
      </c>
    </row>
    <row r="80" spans="1:5">
      <c r="A80" s="5" t="s">
        <v>175</v>
      </c>
      <c r="B80" s="6" t="s">
        <v>84</v>
      </c>
      <c r="C80" s="5" t="s">
        <v>91</v>
      </c>
      <c r="D80" s="5" t="s">
        <v>99</v>
      </c>
      <c r="E80">
        <f>LOOKUP(C80,TABLE2!J80:J195,TABLE2!F80:F195)</f>
        <v>0</v>
      </c>
    </row>
    <row r="81" spans="1:5">
      <c r="A81" s="5" t="s">
        <v>175</v>
      </c>
      <c r="B81" s="6" t="s">
        <v>84</v>
      </c>
      <c r="C81" s="5" t="s">
        <v>91</v>
      </c>
      <c r="D81" s="5" t="s">
        <v>62</v>
      </c>
      <c r="E81">
        <f>LOOKUP(C81,TABLE2!J81:J196,TABLE2!F81:F196)</f>
        <v>0</v>
      </c>
    </row>
    <row r="82" spans="1:5">
      <c r="A82" s="5" t="s">
        <v>104</v>
      </c>
      <c r="B82" s="6" t="s">
        <v>105</v>
      </c>
      <c r="C82" s="5" t="s">
        <v>106</v>
      </c>
      <c r="D82" s="5" t="s">
        <v>62</v>
      </c>
      <c r="E82">
        <f>LOOKUP(C82,TABLE2!J82:J197,TABLE2!F82:F197)</f>
        <v>0</v>
      </c>
    </row>
    <row r="83" spans="1:5">
      <c r="A83" s="5" t="s">
        <v>104</v>
      </c>
      <c r="B83" s="6" t="s">
        <v>105</v>
      </c>
      <c r="C83" s="5" t="s">
        <v>106</v>
      </c>
      <c r="D83" s="5" t="s">
        <v>62</v>
      </c>
      <c r="E83">
        <f>LOOKUP(C83,TABLE2!J83:J198,TABLE2!F83:F198)</f>
        <v>0</v>
      </c>
    </row>
    <row r="84" spans="1:5">
      <c r="A84" s="5" t="s">
        <v>168</v>
      </c>
      <c r="B84" s="6" t="s">
        <v>169</v>
      </c>
      <c r="C84" s="5" t="s">
        <v>115</v>
      </c>
      <c r="D84" s="5" t="s">
        <v>116</v>
      </c>
      <c r="E84" t="str">
        <f>LOOKUP(C84,TABLE2!J84:J199,TABLE2!F84:F199)</f>
        <v>Laptop</v>
      </c>
    </row>
    <row r="85" spans="1:5">
      <c r="A85" s="5" t="s">
        <v>168</v>
      </c>
      <c r="B85" s="6" t="s">
        <v>169</v>
      </c>
      <c r="C85" s="5" t="s">
        <v>115</v>
      </c>
      <c r="D85" s="5" t="s">
        <v>116</v>
      </c>
      <c r="E85" t="str">
        <f>LOOKUP(C85,TABLE2!J85:J200,TABLE2!F85:F200)</f>
        <v>Laptop</v>
      </c>
    </row>
    <row r="86" spans="1:5">
      <c r="A86" s="5" t="s">
        <v>176</v>
      </c>
      <c r="B86" s="6" t="s">
        <v>120</v>
      </c>
      <c r="C86" s="5" t="s">
        <v>91</v>
      </c>
      <c r="D86" s="5" t="s">
        <v>62</v>
      </c>
      <c r="E86">
        <f>LOOKUP(C86,TABLE2!J86:J201,TABLE2!F86:F201)</f>
        <v>0</v>
      </c>
    </row>
    <row r="87" spans="1:5">
      <c r="A87" s="5" t="s">
        <v>176</v>
      </c>
      <c r="B87" s="6" t="s">
        <v>120</v>
      </c>
      <c r="C87" s="5" t="s">
        <v>91</v>
      </c>
      <c r="D87" s="5" t="s">
        <v>62</v>
      </c>
      <c r="E87">
        <f>LOOKUP(C87,TABLE2!J87:J202,TABLE2!F87:F202)</f>
        <v>0</v>
      </c>
    </row>
    <row r="88" spans="1:5">
      <c r="A88" s="5" t="s">
        <v>184</v>
      </c>
      <c r="B88" s="6" t="s">
        <v>185</v>
      </c>
      <c r="C88" s="5" t="s">
        <v>115</v>
      </c>
      <c r="D88" s="5" t="s">
        <v>116</v>
      </c>
      <c r="E88" t="str">
        <f>LOOKUP(C88,TABLE2!J88:J203,TABLE2!F88:F203)</f>
        <v>Laptop</v>
      </c>
    </row>
    <row r="89" spans="1:5">
      <c r="A89" s="5" t="s">
        <v>184</v>
      </c>
      <c r="B89" s="6" t="s">
        <v>185</v>
      </c>
      <c r="C89" s="5" t="s">
        <v>115</v>
      </c>
      <c r="D89" s="5" t="s">
        <v>116</v>
      </c>
      <c r="E89" t="str">
        <f>LOOKUP(C89,TABLE2!J89:J204,TABLE2!F89:F204)</f>
        <v>Laptop</v>
      </c>
    </row>
    <row r="90" spans="1:5">
      <c r="A90" s="5" t="s">
        <v>138</v>
      </c>
      <c r="B90" s="6" t="s">
        <v>121</v>
      </c>
      <c r="C90" s="5" t="s">
        <v>130</v>
      </c>
      <c r="D90" s="5" t="s">
        <v>62</v>
      </c>
      <c r="E90">
        <f>LOOKUP(C90,TABLE2!J90:J205,TABLE2!F90:F205)</f>
        <v>0</v>
      </c>
    </row>
    <row r="91" spans="1:5">
      <c r="A91" s="5" t="s">
        <v>138</v>
      </c>
      <c r="B91" s="6" t="s">
        <v>121</v>
      </c>
      <c r="C91" s="5" t="s">
        <v>130</v>
      </c>
      <c r="D91" s="5" t="s">
        <v>62</v>
      </c>
      <c r="E91">
        <f>LOOKUP(C91,TABLE2!J91:J206,TABLE2!F91:F206)</f>
        <v>0</v>
      </c>
    </row>
    <row r="92" spans="1:5">
      <c r="A92" s="5" t="s">
        <v>193</v>
      </c>
      <c r="B92" s="6" t="s">
        <v>194</v>
      </c>
      <c r="C92" s="5" t="s">
        <v>133</v>
      </c>
      <c r="D92" s="5" t="s">
        <v>62</v>
      </c>
      <c r="E92">
        <f>LOOKUP(C92,TABLE2!J92:J207,TABLE2!F92:F207)</f>
        <v>0</v>
      </c>
    </row>
    <row r="93" spans="1:5">
      <c r="A93" s="5" t="s">
        <v>193</v>
      </c>
      <c r="B93" s="6" t="s">
        <v>194</v>
      </c>
      <c r="C93" s="5" t="s">
        <v>133</v>
      </c>
      <c r="D93" s="5" t="s">
        <v>62</v>
      </c>
      <c r="E93">
        <f>LOOKUP(C93,TABLE2!J93:J208,TABLE2!F93:F208)</f>
        <v>0</v>
      </c>
    </row>
    <row r="94" spans="1:5">
      <c r="A94" s="5" t="s">
        <v>195</v>
      </c>
      <c r="B94" s="6" t="s">
        <v>196</v>
      </c>
      <c r="C94" s="5" t="s">
        <v>80</v>
      </c>
      <c r="D94" s="5" t="s">
        <v>62</v>
      </c>
      <c r="E94">
        <f>LOOKUP(C94,TABLE2!J94:J209,TABLE2!F94:F209)</f>
        <v>0</v>
      </c>
    </row>
    <row r="95" spans="1:5">
      <c r="A95" s="5" t="s">
        <v>195</v>
      </c>
      <c r="B95" s="6" t="s">
        <v>196</v>
      </c>
      <c r="C95" s="5" t="s">
        <v>80</v>
      </c>
      <c r="D95" s="5" t="s">
        <v>62</v>
      </c>
      <c r="E95">
        <f>LOOKUP(C95,TABLE2!J95:J210,TABLE2!F95:F210)</f>
        <v>0</v>
      </c>
    </row>
    <row r="96" spans="1:5">
      <c r="A96" s="5" t="s">
        <v>151</v>
      </c>
      <c r="B96" s="6" t="s">
        <v>100</v>
      </c>
      <c r="C96" s="5" t="s">
        <v>199</v>
      </c>
      <c r="D96" s="5" t="s">
        <v>99</v>
      </c>
      <c r="E96" t="str">
        <f>LOOKUP(C96,TABLE2!J96:J211,TABLE2!F96:F211)</f>
        <v>DVD</v>
      </c>
    </row>
    <row r="97" spans="1:5">
      <c r="A97" s="5" t="s">
        <v>151</v>
      </c>
      <c r="B97" s="6" t="s">
        <v>100</v>
      </c>
      <c r="C97" s="5" t="s">
        <v>61</v>
      </c>
      <c r="D97" s="5" t="s">
        <v>62</v>
      </c>
      <c r="E97" t="str">
        <f>LOOKUP(C97,TABLE2!J97:J212,TABLE2!F97:F212)</f>
        <v>DVD</v>
      </c>
    </row>
    <row r="98" spans="1:5">
      <c r="A98" s="5" t="s">
        <v>152</v>
      </c>
      <c r="B98" s="6" t="s">
        <v>103</v>
      </c>
      <c r="C98" s="5" t="s">
        <v>130</v>
      </c>
      <c r="D98" s="5" t="s">
        <v>62</v>
      </c>
      <c r="E98">
        <f>LOOKUP(C98,TABLE2!J98:J213,TABLE2!F98:F213)</f>
        <v>0</v>
      </c>
    </row>
    <row r="99" spans="1:5">
      <c r="A99" s="5" t="s">
        <v>152</v>
      </c>
      <c r="B99" s="6" t="s">
        <v>103</v>
      </c>
      <c r="C99" s="5" t="s">
        <v>130</v>
      </c>
      <c r="D99" s="5" t="s">
        <v>62</v>
      </c>
      <c r="E99" t="str">
        <f>LOOKUP(C99,TABLE2!J99:J214,TABLE2!F99:F214)</f>
        <v>Verizon</v>
      </c>
    </row>
    <row r="100" spans="1:5">
      <c r="A100" s="5" t="s">
        <v>97</v>
      </c>
      <c r="B100" s="6" t="s">
        <v>98</v>
      </c>
      <c r="C100" s="5" t="s">
        <v>61</v>
      </c>
      <c r="D100" s="5" t="s">
        <v>62</v>
      </c>
      <c r="E100" t="str">
        <f>LOOKUP(C100,TABLE2!J100:J215,TABLE2!F100:F215)</f>
        <v>DVD</v>
      </c>
    </row>
    <row r="101" spans="1:5">
      <c r="A101" s="5" t="s">
        <v>97</v>
      </c>
      <c r="B101" s="6" t="s">
        <v>98</v>
      </c>
      <c r="C101" s="5" t="s">
        <v>61</v>
      </c>
      <c r="D101" s="5" t="s">
        <v>62</v>
      </c>
      <c r="E101" t="str">
        <f>LOOKUP(C101,TABLE2!J101:J216,TABLE2!F101:F216)</f>
        <v>DVD</v>
      </c>
    </row>
    <row r="102" spans="1:5">
      <c r="A102" s="5" t="s">
        <v>134</v>
      </c>
      <c r="B102" s="6" t="s">
        <v>135</v>
      </c>
      <c r="C102" s="5" t="s">
        <v>115</v>
      </c>
      <c r="D102" s="5" t="s">
        <v>116</v>
      </c>
      <c r="E102" t="str">
        <f>LOOKUP(C102,TABLE2!J102:J217,TABLE2!F102:F217)</f>
        <v>Laptop</v>
      </c>
    </row>
    <row r="103" spans="1:5">
      <c r="A103" s="5" t="s">
        <v>134</v>
      </c>
      <c r="B103" s="6" t="s">
        <v>135</v>
      </c>
      <c r="C103" s="5" t="s">
        <v>115</v>
      </c>
      <c r="D103" s="5" t="s">
        <v>116</v>
      </c>
      <c r="E103" t="str">
        <f>LOOKUP(C103,TABLE2!J103:J218,TABLE2!F103:F218)</f>
        <v>Laptop</v>
      </c>
    </row>
    <row r="104" spans="1:5">
      <c r="A104" s="5" t="s">
        <v>161</v>
      </c>
      <c r="B104" s="6" t="s">
        <v>162</v>
      </c>
      <c r="C104" s="5" t="s">
        <v>149</v>
      </c>
      <c r="D104" s="5" t="s">
        <v>116</v>
      </c>
      <c r="E104" t="str">
        <f>LOOKUP(C104,TABLE2!J104:J219,TABLE2!F104:F219)</f>
        <v>DVD</v>
      </c>
    </row>
    <row r="105" spans="1:5">
      <c r="A105" s="5" t="s">
        <v>161</v>
      </c>
      <c r="B105" s="6" t="s">
        <v>162</v>
      </c>
      <c r="C105" s="5" t="s">
        <v>149</v>
      </c>
      <c r="D105" s="5" t="s">
        <v>116</v>
      </c>
      <c r="E105" t="str">
        <f>LOOKUP(C105,TABLE2!J105:J220,TABLE2!F105:F220)</f>
        <v>DVD</v>
      </c>
    </row>
    <row r="106" spans="1:5">
      <c r="A106" s="5" t="s">
        <v>193</v>
      </c>
      <c r="B106" s="6" t="s">
        <v>194</v>
      </c>
      <c r="C106" s="5" t="s">
        <v>133</v>
      </c>
      <c r="D106" s="5" t="s">
        <v>62</v>
      </c>
      <c r="E106">
        <f>LOOKUP(C106,TABLE2!J106:J221,TABLE2!F106:F221)</f>
        <v>0</v>
      </c>
    </row>
    <row r="107" spans="1:5">
      <c r="A107" s="5" t="s">
        <v>193</v>
      </c>
      <c r="B107" s="6" t="s">
        <v>194</v>
      </c>
      <c r="C107" s="5" t="s">
        <v>133</v>
      </c>
      <c r="D107" s="5" t="s">
        <v>62</v>
      </c>
      <c r="E107">
        <f>LOOKUP(C107,TABLE2!J107:J222,TABLE2!F107:F222)</f>
        <v>0</v>
      </c>
    </row>
    <row r="108" spans="1:5">
      <c r="A108" s="5" t="s">
        <v>163</v>
      </c>
      <c r="B108" s="6" t="s">
        <v>164</v>
      </c>
      <c r="C108" s="5" t="s">
        <v>106</v>
      </c>
      <c r="D108" s="5" t="s">
        <v>62</v>
      </c>
      <c r="E108">
        <f>LOOKUP(C108,TABLE2!J108:J223,TABLE2!F108:F223)</f>
        <v>0</v>
      </c>
    </row>
    <row r="109" spans="1:5">
      <c r="A109" s="5" t="s">
        <v>163</v>
      </c>
      <c r="B109" s="6" t="s">
        <v>164</v>
      </c>
      <c r="C109" s="5" t="s">
        <v>106</v>
      </c>
      <c r="D109" s="5" t="s">
        <v>62</v>
      </c>
      <c r="E109">
        <f>LOOKUP(C109,TABLE2!J109:J224,TABLE2!F109:F224)</f>
        <v>0</v>
      </c>
    </row>
    <row r="110" spans="1:5">
      <c r="A110" s="5" t="s">
        <v>195</v>
      </c>
      <c r="B110" s="6" t="s">
        <v>196</v>
      </c>
      <c r="C110" s="5" t="s">
        <v>80</v>
      </c>
      <c r="D110" s="5" t="s">
        <v>62</v>
      </c>
      <c r="E110">
        <f>LOOKUP(C110,TABLE2!J110:J225,TABLE2!F110:F225)</f>
        <v>0</v>
      </c>
    </row>
    <row r="111" spans="1:5">
      <c r="A111" s="5" t="s">
        <v>195</v>
      </c>
      <c r="B111" s="6" t="s">
        <v>196</v>
      </c>
      <c r="C111" s="5" t="s">
        <v>80</v>
      </c>
      <c r="D111" s="5" t="s">
        <v>62</v>
      </c>
      <c r="E111">
        <f>LOOKUP(C111,TABLE2!J111:J226,TABLE2!F111:F226)</f>
        <v>0</v>
      </c>
    </row>
    <row r="112" spans="1:5">
      <c r="A112" s="5" t="s">
        <v>183</v>
      </c>
      <c r="B112" s="6" t="s">
        <v>96</v>
      </c>
      <c r="C112" s="5" t="s">
        <v>130</v>
      </c>
      <c r="D112" s="5" t="s">
        <v>99</v>
      </c>
      <c r="E112">
        <f>LOOKUP(C112,TABLE2!J112:J227,TABLE2!F112:F227)</f>
        <v>0</v>
      </c>
    </row>
    <row r="113" spans="1:5">
      <c r="A113" s="5" t="s">
        <v>183</v>
      </c>
      <c r="B113" s="6" t="s">
        <v>96</v>
      </c>
      <c r="C113" s="5" t="s">
        <v>130</v>
      </c>
      <c r="D113" s="5" t="s">
        <v>62</v>
      </c>
      <c r="E113">
        <f>LOOKUP(C113,TABLE2!J113:J228,TABLE2!F113:F228)</f>
        <v>0</v>
      </c>
    </row>
    <row r="114" spans="1:5">
      <c r="A114" s="5" t="s">
        <v>113</v>
      </c>
      <c r="B114" s="6" t="s">
        <v>114</v>
      </c>
      <c r="C114" s="5" t="s">
        <v>115</v>
      </c>
      <c r="D114" s="5" t="s">
        <v>116</v>
      </c>
      <c r="E114" t="str">
        <f>LOOKUP(C114,TABLE2!J114:J229,TABLE2!F114:F229)</f>
        <v>Laptop</v>
      </c>
    </row>
    <row r="115" spans="1:5">
      <c r="A115" s="5" t="s">
        <v>113</v>
      </c>
      <c r="B115" s="6" t="s">
        <v>114</v>
      </c>
      <c r="C115" s="5" t="s">
        <v>115</v>
      </c>
      <c r="D115" s="5" t="s">
        <v>116</v>
      </c>
      <c r="E115" t="str">
        <f>LOOKUP(C115,TABLE2!J115:J230,TABLE2!F115:F230)</f>
        <v>Laptop</v>
      </c>
    </row>
    <row r="116" spans="1:5">
      <c r="A116" s="5" t="s">
        <v>189</v>
      </c>
      <c r="B116" s="6" t="s">
        <v>190</v>
      </c>
      <c r="C116" s="5" t="s">
        <v>149</v>
      </c>
      <c r="D116" s="5" t="s">
        <v>116</v>
      </c>
      <c r="E116" t="str">
        <f>LOOKUP(C116,TABLE2!J116:J231,TABLE2!F116:F231)</f>
        <v>DVD</v>
      </c>
    </row>
    <row r="117" spans="1:5">
      <c r="A117" s="7" t="s">
        <v>189</v>
      </c>
      <c r="B117" s="8" t="s">
        <v>190</v>
      </c>
      <c r="C117" s="7" t="s">
        <v>149</v>
      </c>
      <c r="D117" s="7" t="s">
        <v>116</v>
      </c>
      <c r="E117" t="str">
        <f>LOOKUP(C117,TABLE2!J117:J232,TABLE2!F117:F232)</f>
        <v>DVD</v>
      </c>
    </row>
    <row r="118" spans="10:10">
      <c r="J118" s="2"/>
    </row>
  </sheetData>
  <conditionalFormatting sqref="D85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9:C10">
    <cfRule type="expression" dxfId="35" priority="12">
      <formula>#REF!=#REF!</formula>
    </cfRule>
  </conditionalFormatting>
  <conditionalFormatting sqref="C11:C117">
    <cfRule type="expression" dxfId="35" priority="13">
      <formula>#REF!=$AJ4</formula>
    </cfRule>
  </conditionalFormatting>
  <conditionalFormatting sqref="D2:D117">
    <cfRule type="cellIs" dxfId="46" priority="1" operator="equal">
      <formula>$K$12</formula>
    </cfRule>
    <cfRule type="cellIs" dxfId="32" priority="2" operator="equal">
      <formula>$K$8</formula>
    </cfRule>
    <cfRule type="cellIs" dxfId="33" priority="3" operator="equal">
      <formula>"USA"</formula>
    </cfRule>
    <cfRule type="cellIs" dxfId="34" priority="4" operator="equal">
      <formula>$G$113</formula>
    </cfRule>
    <cfRule type="cellIs" dxfId="34" priority="5" operator="equal">
      <formula>"USA"</formula>
    </cfRule>
    <cfRule type="iconSet" priority="8">
      <iconSet iconSet="3TrafficLights2">
        <cfvo type="percent" val="0"/>
        <cfvo type="percent" val="33"/>
        <cfvo type="percent" val="67"/>
      </iconSet>
    </cfRule>
    <cfRule type="iconSet" priority="7">
      <iconSet iconSet="3TrafficLights1">
        <cfvo type="percent" val="0"/>
        <cfvo type="percent" val="33"/>
        <cfvo type="percent" val="67"/>
      </iconSet>
    </cfRule>
  </conditionalFormatting>
  <conditionalFormatting sqref="D2:D3">
    <cfRule type="expression" dxfId="35" priority="10">
      <formula>#REF!=$AJ1048570</formula>
    </cfRule>
  </conditionalFormatting>
  <conditionalFormatting sqref="D4:D10">
    <cfRule type="expression" dxfId="35" priority="9">
      <formula>#REF!=#REF!</formula>
    </cfRule>
  </conditionalFormatting>
  <conditionalFormatting sqref="D11:D117">
    <cfRule type="expression" dxfId="35" priority="11">
      <formula>#REF!=$AJ4</formula>
    </cfRule>
  </conditionalFormatting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E7"/>
  <sheetViews>
    <sheetView tabSelected="1" workbookViewId="0">
      <selection activeCell="A6" sqref="A6"/>
    </sheetView>
  </sheetViews>
  <sheetFormatPr defaultColWidth="9" defaultRowHeight="13.2" outlineLevelRow="6" outlineLevelCol="4"/>
  <cols>
    <col min="1" max="1" width="12.7777777777778" customWidth="1"/>
    <col min="2" max="2" width="17.4444444444444" customWidth="1"/>
    <col min="3" max="3" width="16.5555555555556" customWidth="1"/>
    <col min="4" max="4" width="14.4444444444444" customWidth="1"/>
  </cols>
  <sheetData>
    <row r="1" spans="1:5">
      <c r="A1" s="1" t="s">
        <v>9</v>
      </c>
      <c r="B1" s="1" t="s">
        <v>11</v>
      </c>
      <c r="C1" s="1" t="s">
        <v>13</v>
      </c>
      <c r="D1" s="1" t="s">
        <v>308</v>
      </c>
      <c r="E1" s="1" t="s">
        <v>309</v>
      </c>
    </row>
    <row r="2" spans="1:4">
      <c r="A2">
        <v>1</v>
      </c>
      <c r="B2" s="2" t="s">
        <v>310</v>
      </c>
      <c r="C2" s="2" t="s">
        <v>116</v>
      </c>
      <c r="D2" s="2" t="s">
        <v>86</v>
      </c>
    </row>
    <row r="3" spans="1:5">
      <c r="A3">
        <v>2</v>
      </c>
      <c r="B3" s="2" t="s">
        <v>311</v>
      </c>
      <c r="C3" s="2" t="s">
        <v>62</v>
      </c>
      <c r="D3" s="2" t="s">
        <v>312</v>
      </c>
      <c r="E3" s="2" t="s">
        <v>313</v>
      </c>
    </row>
    <row r="4" spans="1:5">
      <c r="A4">
        <v>3</v>
      </c>
      <c r="B4" s="2" t="s">
        <v>314</v>
      </c>
      <c r="C4" s="2" t="s">
        <v>99</v>
      </c>
      <c r="D4" s="2" t="s">
        <v>315</v>
      </c>
      <c r="E4" s="2" t="s">
        <v>313</v>
      </c>
    </row>
    <row r="5" spans="1:5">
      <c r="A5">
        <v>4</v>
      </c>
      <c r="B5" s="2" t="s">
        <v>316</v>
      </c>
      <c r="C5" s="2" t="s">
        <v>116</v>
      </c>
      <c r="D5" s="2" t="s">
        <v>317</v>
      </c>
      <c r="E5" s="2" t="s">
        <v>318</v>
      </c>
    </row>
    <row r="6" spans="4:4">
      <c r="D6" s="2" t="s">
        <v>319</v>
      </c>
    </row>
    <row r="7" spans="4:4">
      <c r="D7" s="2" t="s">
        <v>320</v>
      </c>
    </row>
  </sheetData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E817488A-C72E-4C7D-A291-6F2B47755082}">
  <ds:schemaRefs/>
</ds:datastoreItem>
</file>

<file path=customXml/itemProps2.xml><?xml version="1.0" encoding="utf-8"?>
<ds:datastoreItem xmlns:ds="http://schemas.openxmlformats.org/officeDocument/2006/customXml" ds:itemID="{7709A5BA-69EF-4EC3-8F0F-8322D828257F}">
  <ds:schemaRefs/>
</ds:datastoreItem>
</file>

<file path=customXml/itemProps3.xml><?xml version="1.0" encoding="utf-8"?>
<ds:datastoreItem xmlns:ds="http://schemas.openxmlformats.org/officeDocument/2006/customXml" ds:itemID="{CDB36A4E-4D07-4485-8509-F9A931A37DFF}">
  <ds:schemaRefs/>
</ds:datastoreItem>
</file>

<file path=customXml/itemProps4.xml><?xml version="1.0" encoding="utf-8"?>
<ds:datastoreItem xmlns:ds="http://schemas.openxmlformats.org/officeDocument/2006/customXml" ds:itemID="{0EA9D9A7-3AE2-4D05-AF51-1AF2E8B88994}">
  <ds:schemaRefs/>
</ds:datastoreItem>
</file>

<file path=customXml/itemProps5.xml><?xml version="1.0" encoding="utf-8"?>
<ds:datastoreItem xmlns:ds="http://schemas.openxmlformats.org/officeDocument/2006/customXml" ds:itemID="{4CC6CF9E-1A5D-4DF4-8AB7-32A80E260A5B}">
  <ds:schemaRefs/>
</ds:datastoreItem>
</file>

<file path=customXml/itemProps6.xml><?xml version="1.0" encoding="utf-8"?>
<ds:datastoreItem xmlns:ds="http://schemas.openxmlformats.org/officeDocument/2006/customXml" ds:itemID="{4001B529-D42A-4ADA-8F60-E3DF82131937}">
  <ds:schemaRefs/>
</ds:datastoreItem>
</file>

<file path=customXml/itemProps7.xml><?xml version="1.0" encoding="utf-8"?>
<ds:datastoreItem xmlns:ds="http://schemas.openxmlformats.org/officeDocument/2006/customXml" ds:itemID="{4E50EA10-39BB-4917-A8EF-9711C0651065}">
  <ds:schemaRefs/>
</ds:datastoreItem>
</file>

<file path=customXml/itemProps8.xml><?xml version="1.0" encoding="utf-8"?>
<ds:datastoreItem xmlns:ds="http://schemas.openxmlformats.org/officeDocument/2006/customXml" ds:itemID="{36581494-125E-4FE1-9B98-BCB1EBB75B14}">
  <ds:schemaRefs/>
</ds:datastoreItem>
</file>

<file path=customXml/itemProps9.xml><?xml version="1.0" encoding="utf-8"?>
<ds:datastoreItem xmlns:ds="http://schemas.openxmlformats.org/officeDocument/2006/customXml" ds:itemID="{9F941104-B94D-4B2F-ABC6-17D9AE35096D}">
  <ds:schemaRefs/>
</ds:datastoreItem>
</file>

<file path=customXml/itemProps10.xml><?xml version="1.0" encoding="utf-8"?>
<ds:datastoreItem xmlns:ds="http://schemas.openxmlformats.org/officeDocument/2006/customXml" ds:itemID="{C9C8F278-D4F7-43DD-B473-E5C0A6C32BF0}">
  <ds:schemaRefs/>
</ds:datastoreItem>
</file>

<file path=customXml/itemProps11.xml><?xml version="1.0" encoding="utf-8"?>
<ds:datastoreItem xmlns:ds="http://schemas.openxmlformats.org/officeDocument/2006/customXml" ds:itemID="{D9E505CC-2717-45F7-B8ED-8DB5EA6FCF13}">
  <ds:schemaRefs/>
</ds:datastoreItem>
</file>

<file path=customXml/itemProps12.xml><?xml version="1.0" encoding="utf-8"?>
<ds:datastoreItem xmlns:ds="http://schemas.openxmlformats.org/officeDocument/2006/customXml" ds:itemID="{12CCE947-AB02-416C-83D6-D06027B46B39}">
  <ds:schemaRefs/>
</ds:datastoreItem>
</file>

<file path=customXml/itemProps13.xml><?xml version="1.0" encoding="utf-8"?>
<ds:datastoreItem xmlns:ds="http://schemas.openxmlformats.org/officeDocument/2006/customXml" ds:itemID="{E0CBC50E-E3C2-4FAB-8047-1F8E629AE12A}">
  <ds:schemaRefs/>
</ds:datastoreItem>
</file>

<file path=customXml/itemProps14.xml><?xml version="1.0" encoding="utf-8"?>
<ds:datastoreItem xmlns:ds="http://schemas.openxmlformats.org/officeDocument/2006/customXml" ds:itemID="{E2D1B4A0-AD79-4F8F-815E-8A766A2CD37B}">
  <ds:schemaRefs/>
</ds:datastoreItem>
</file>

<file path=customXml/itemProps15.xml><?xml version="1.0" encoding="utf-8"?>
<ds:datastoreItem xmlns:ds="http://schemas.openxmlformats.org/officeDocument/2006/customXml" ds:itemID="{DB38C9C8-0348-4ED0-9A1D-A15915A935D9}">
  <ds:schemaRefs/>
</ds:datastoreItem>
</file>

<file path=customXml/itemProps16.xml><?xml version="1.0" encoding="utf-8"?>
<ds:datastoreItem xmlns:ds="http://schemas.openxmlformats.org/officeDocument/2006/customXml" ds:itemID="{0D310500-9F73-40FB-8F4A-F1CF2481CE32}">
  <ds:schemaRefs/>
</ds:datastoreItem>
</file>

<file path=customXml/itemProps17.xml><?xml version="1.0" encoding="utf-8"?>
<ds:datastoreItem xmlns:ds="http://schemas.openxmlformats.org/officeDocument/2006/customXml" ds:itemID="{2A6231AB-975A-42C0-A8C5-2CD8A8E52C29}">
  <ds:schemaRefs/>
</ds:datastoreItem>
</file>

<file path=customXml/itemProps18.xml><?xml version="1.0" encoding="utf-8"?>
<ds:datastoreItem xmlns:ds="http://schemas.openxmlformats.org/officeDocument/2006/customXml" ds:itemID="{AC841CD0-AF8C-4BDD-B5EF-CD3B569B0492}">
  <ds:schemaRefs/>
</ds:datastoreItem>
</file>

<file path=customXml/itemProps19.xml><?xml version="1.0" encoding="utf-8"?>
<ds:datastoreItem xmlns:ds="http://schemas.openxmlformats.org/officeDocument/2006/customXml" ds:itemID="{1E696C88-C84A-4A61-8D27-14F7F6DC615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Dashboard</vt:lpstr>
      <vt:lpstr>TABLE2</vt:lpstr>
      <vt:lpstr>Sheet1</vt:lpstr>
      <vt:lpstr>Data Cleaning</vt:lpstr>
      <vt:lpstr>Sheet2</vt:lpstr>
      <vt:lpstr>Sheet10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</dc:creator>
  <cp:lastModifiedBy>Angel Rodrigues -20 AW</cp:lastModifiedBy>
  <dcterms:created xsi:type="dcterms:W3CDTF">2023-11-08T05:15:00Z</dcterms:created>
  <dcterms:modified xsi:type="dcterms:W3CDTF">2025-07-01T06:53:44Z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F8149F22FD8B45ACBAC7927A3CF68DBC_12</vt:lpwstr>
  </property>
  <property fmtid="{D5CDD505-2E9C-101B-9397-08002B2CF9AE}" pid="3" name="KSOProductBuildVer">
    <vt:lpwstr>1033-12.2.0.21546</vt:lpwstr>
  </property>
</Properties>
</file>